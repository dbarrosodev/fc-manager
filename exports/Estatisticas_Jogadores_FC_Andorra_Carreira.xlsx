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nco Completo (Hub)" sheetId="1" r:id="rId1"/>
    <sheet name="Desempenho por Jogo (Logs)" sheetId="2" r:id="rId2"/>
    <sheet name="Jogos e Adversários" sheetId="3" r:id="rId3"/>
    <sheet name="Classificação (Tabelas)" sheetId="4" r:id="rId4"/>
    <sheet name="Integridade dos Dados" sheetId="5" r:id="rId5"/>
  </sheets>
  <definedNames>
    <definedName name="_xlnm._FilterDatabase" localSheetId="1" hidden="1">'Desempenho por Jogo (Logs)'!$A$4:$N$206</definedName>
    <definedName name="_xlnm._FilterDatabase" localSheetId="0" hidden="1">'Elenco Completo (Hub)'!$A$4:$AP$29</definedName>
  </definedNames>
  <calcPr calcId="124519" fullCalcOnLoad="1"/>
</workbook>
</file>

<file path=xl/sharedStrings.xml><?xml version="1.0" encoding="utf-8"?>
<sst xmlns="http://schemas.openxmlformats.org/spreadsheetml/2006/main" count="2500" uniqueCount="490">
  <si>
    <t>FC ANDORRA (LaLiga Hypermotion) — CENTRAL DE ELENCO (DERIVADA DOS LOGS POR PARTIDA)</t>
  </si>
  <si>
    <t>Treinador: Carles Manso Rubio | Data: 19/10/2025 | 13J: 9V 4E 0D · 32 GP / 8 GC (Invicto!) | Gols Conciliados: 32 = 32 GP</t>
  </si>
  <si>
    <t>ID Atleta</t>
  </si>
  <si>
    <t>Nº Camisa</t>
  </si>
  <si>
    <t>Jogador</t>
  </si>
  <si>
    <t>Nome Completo</t>
  </si>
  <si>
    <t>Hierarquia Escalação (Treinador)</t>
  </si>
  <si>
    <t>Utilização Real (Derivada)</t>
  </si>
  <si>
    <t>Papel Contratual</t>
  </si>
  <si>
    <t>Posição Principal</t>
  </si>
  <si>
    <t>Posições Secundárias</t>
  </si>
  <si>
    <t>Setor</t>
  </si>
  <si>
    <t>Overall (OVR)</t>
  </si>
  <si>
    <t>Potencial (POT)</t>
  </si>
  <si>
    <t>Margem de Potencial (POT-OVR)</t>
  </si>
  <si>
    <t>Evolução Real no Save</t>
  </si>
  <si>
    <t>Idade</t>
  </si>
  <si>
    <t>Nascimento</t>
  </si>
  <si>
    <t>Nacionalidade</t>
  </si>
  <si>
    <t>Valor de Mercado (€)</t>
  </si>
  <si>
    <t>Salário Semanal (€)</t>
  </si>
  <si>
    <t>Situação Multa Rescisória</t>
  </si>
  <si>
    <t>Fim Contrato</t>
  </si>
  <si>
    <t>Alerta Contratual</t>
  </si>
  <si>
    <t>Jogos (Logs)</t>
  </si>
  <si>
    <t>Titular (Logs)</t>
  </si>
  <si>
    <t>Reserva (Logs)</t>
  </si>
  <si>
    <t>Minutos (Logs)</t>
  </si>
  <si>
    <t>% Minutos</t>
  </si>
  <si>
    <t>Gols (Conciliado Logs)</t>
  </si>
  <si>
    <t>Assistências (Bloco stndgs)</t>
  </si>
  <si>
    <t>Participações (G+A)</t>
  </si>
  <si>
    <t>G+A por 90m</t>
  </si>
  <si>
    <t>Gols (Liga)</t>
  </si>
  <si>
    <t>Assist. (Liga)</t>
  </si>
  <si>
    <t>Gols (Pré-Temp/Copa)</t>
  </si>
  <si>
    <t>Assist. (Pré-Temp/Copa)</t>
  </si>
  <si>
    <t>Clean Sheets</t>
  </si>
  <si>
    <t>Nota Média (Logs)</t>
  </si>
  <si>
    <t>Forma Recente</t>
  </si>
  <si>
    <t>Confiança da Amostra</t>
  </si>
  <si>
    <t>Recomendação Consultiva (Camada 3)</t>
  </si>
  <si>
    <t>Justificativa Numérica</t>
  </si>
  <si>
    <t>Descrição Derivada Automática</t>
  </si>
  <si>
    <t>Álex Petxa</t>
  </si>
  <si>
    <t>Álex Petxarroman Eizaguirre</t>
  </si>
  <si>
    <t>Titular (LE)</t>
  </si>
  <si>
    <t>Titular Efetivo (49% min)</t>
  </si>
  <si>
    <t>Rodízio</t>
  </si>
  <si>
    <t>LD</t>
  </si>
  <si>
    <t>MC</t>
  </si>
  <si>
    <t>Defesa</t>
  </si>
  <si>
    <t>07/02/1997</t>
  </si>
  <si>
    <t>Espanha</t>
  </si>
  <si>
    <t>Sem multa rescisória</t>
  </si>
  <si>
    <t>Seguro (até 2028)</t>
  </si>
  <si>
    <t>Regular (6,72)</t>
  </si>
  <si>
    <t>Titular com 574 min em 12J (49,1% do tempo possível, Nota 7,12)</t>
  </si>
  <si>
    <t>Atleta de 28 anos (Espanha). posição LD (MC). hierarquia atual 'Titular (LE)'. Overall 66 e Potencial 66 (margem de potencial +0; evolução real no save +0). Soma 574 min em 12 partidas (7T/5R). com 0 gol(s) verificado(s) por partida. 2 assistência(s) na temporada (2 G+A) e nota média 7.12. Vínculo: contrato até 2028 (Rodízio). avaliado em € 925.000.</t>
  </si>
  <si>
    <t>Yeray Cabanzón</t>
  </si>
  <si>
    <t>Titular (PD)</t>
  </si>
  <si>
    <t>Titular Efetivo (40% min)</t>
  </si>
  <si>
    <t>MD</t>
  </si>
  <si>
    <t>PD</t>
  </si>
  <si>
    <t>Meio-Campo</t>
  </si>
  <si>
    <t>15/05/2003</t>
  </si>
  <si>
    <t>Atenção: Expira em 2027 (2 anos)</t>
  </si>
  <si>
    <t>Excelente (7,80)</t>
  </si>
  <si>
    <t>Titular com 463 min em 7J (39,6% do tempo possível, Nota 7,66)</t>
  </si>
  <si>
    <t>Atleta de 22 anos (Espanha). posição MD (PD). hierarquia atual 'Titular (PD)'. Overall 67 e Potencial 75 (margem de potencial +8; evolução real no save +1). Soma 463 min em 7 partidas (6T/1R). com 3 gol(s) verificado(s) por partida. 4 assistência(s) na temporada (7 G+A) e nota média 7.66. Vínculo: contrato até 2027 (Rodízio). avaliado em € 2.300.000.</t>
  </si>
  <si>
    <t>Bomba</t>
  </si>
  <si>
    <t>Marc Bombardó Poyato</t>
  </si>
  <si>
    <t>Titular (ZAG)</t>
  </si>
  <si>
    <t>Titular Efetivo (65% min)</t>
  </si>
  <si>
    <t>ZAG</t>
  </si>
  <si>
    <t>—</t>
  </si>
  <si>
    <t>24/11/2005</t>
  </si>
  <si>
    <t>€ 4.150.000</t>
  </si>
  <si>
    <t>Boa (7,04)</t>
  </si>
  <si>
    <t>19 anos, POT 78 (+11 margem) e 765 min disputados (9J)</t>
  </si>
  <si>
    <t>Atleta de 19 anos (Espanha). posição ZAG. hierarquia atual 'Titular (ZAG)'. Overall 67 e Potencial 78 (margem de potencial +11; evolução real no save +2). Soma 765 min em 9 partidas (9T/0R). com 0 gol(s) verificado(s) por partida. 0 assistência(s) na temporada (0 G+A) e nota média 7.04. Vínculo: contrato até 2027 (Rodízio). avaliado em € 1.900.000.</t>
  </si>
  <si>
    <t>Daniel Villahermosa</t>
  </si>
  <si>
    <t>Titular (MC)</t>
  </si>
  <si>
    <t>Titular Efetivo (60% min)</t>
  </si>
  <si>
    <t>VOL</t>
  </si>
  <si>
    <t>03/01/2001</t>
  </si>
  <si>
    <t>€ 2.600.000</t>
  </si>
  <si>
    <t>Seguro (até 2030)</t>
  </si>
  <si>
    <t>Boa (7,00)</t>
  </si>
  <si>
    <t>Titular com 705 min em 10J (60,3% do tempo possível, Nota 7,23)</t>
  </si>
  <si>
    <t>Atleta de 24 anos (Espanha). posição MC (VOL). hierarquia atual 'Titular (MC)'. Overall 68 e Potencial 70 (margem de potencial +2; evolução real no save +1). Soma 705 min em 10 partidas (9T/1R). com 1 gol(s) verificado(s) por partida. 4 assistência(s) na temporada (5 G+A) e nota média 7.23. Vínculo: contrato até 2030 (Rodízio). avaliado em € 1.600.000.</t>
  </si>
  <si>
    <t>Manu Bueno</t>
  </si>
  <si>
    <t>Manuel Bueno Sebastián</t>
  </si>
  <si>
    <t>Titular Efetivo (43% min)</t>
  </si>
  <si>
    <t>Importante</t>
  </si>
  <si>
    <t>MEI, VOL</t>
  </si>
  <si>
    <t>28/07/2004</t>
  </si>
  <si>
    <t>€ 6.600.000</t>
  </si>
  <si>
    <t>Seguro (até 2029)</t>
  </si>
  <si>
    <t>Boa (7,02)</t>
  </si>
  <si>
    <t>Titular com 502 min em 8J (42,9% do tempo possível, Nota 6,89)</t>
  </si>
  <si>
    <t>Atleta de 21 anos (Espanha). posição MC (MEI. VOL). hierarquia atual 'Titular (MC)'. Overall 67 e Potencial 76 (margem de potencial +9; evolução real no save +0). Soma 502 min em 8 partidas (7T/1R). com 2 gol(s) verificado(s) por partida. 1 assistência(s) na temporada (3 G+A) e nota média 6.89. Vínculo: contrato até 2029 (Importante). avaliado em € 2.700.000.</t>
  </si>
  <si>
    <t>Edgar González</t>
  </si>
  <si>
    <t>Edgar González Estrada</t>
  </si>
  <si>
    <t>Titular Efetivo (80% min)</t>
  </si>
  <si>
    <t>02/04/1997</t>
  </si>
  <si>
    <t>Regular (6,80)</t>
  </si>
  <si>
    <t>Titular com 930 min em 11J (79,5% do tempo possível, Nota 6,84)</t>
  </si>
  <si>
    <t>Atleta de 28 anos (Espanha). posição ZAG. hierarquia atual 'Titular (ZAG)'. Overall 72 e Potencial 72 (margem de potencial +0; evolução real no save +1). Soma 930 min em 11 partidas (11T/0R). com 0 gol(s) verificado(s) por partida. 0 assistência(s) na temporada (0 G+A) e nota média 6.84. Vínculo: contrato até 2028 (Rodízio). avaliado em € 2.100.000.</t>
  </si>
  <si>
    <t>Jastin</t>
  </si>
  <si>
    <t>Jastin García</t>
  </si>
  <si>
    <t>Titular (PE)</t>
  </si>
  <si>
    <t>Titular Efetivo (54% min)</t>
  </si>
  <si>
    <t>ME</t>
  </si>
  <si>
    <t>PE</t>
  </si>
  <si>
    <t>16/01/2004</t>
  </si>
  <si>
    <t>Emprestado (Sem multa)</t>
  </si>
  <si>
    <t>Empréstimo até Jun/2026</t>
  </si>
  <si>
    <t>Boa (7,14)</t>
  </si>
  <si>
    <t>21 anos, POT 80 (+11 margem) e 626 min disputados (12J)</t>
  </si>
  <si>
    <t>Atleta de 21 anos (Espanha). posição ME (PE). hierarquia atual 'Titular (PE)'. Overall 69 e Potencial 80 (margem de potencial +11; evolução real no save +1). Soma 626 min em 12 partidas (7T/5R). com 0 gol(s) verificado(s) por partida. 4 assistência(s) na temporada (4 G+A) e nota média 7.28. Vínculo: atleta emprestado ao clube até 2026. avaliado em € 3.500.000.</t>
  </si>
  <si>
    <t>Imanol</t>
  </si>
  <si>
    <t>Imanol García de Albéniz</t>
  </si>
  <si>
    <t>Titular (LD)</t>
  </si>
  <si>
    <t>Titular Efetivo (57% min)</t>
  </si>
  <si>
    <t>LE</t>
  </si>
  <si>
    <t>09/06/2000</t>
  </si>
  <si>
    <t>Regular (6,64)</t>
  </si>
  <si>
    <t>Titular com 669 min em 11J (57,2% do tempo possível, Nota 6,90)</t>
  </si>
  <si>
    <t>Atleta de 25 anos (Espanha). posição LE (ME). hierarquia atual 'Titular (LD)'. Overall 71 e Potencial 73 (margem de potencial +2; evolução real no save +1). Soma 669 min em 11 partidas (10T/1R). com 1 gol(s) verificado(s) por partida. 2 assistência(s) na temporada (3 G+A) e nota média 6.90. Vínculo: contrato até 2029 (Rodízio). avaliado em € 2.300.000.</t>
  </si>
  <si>
    <t>Efe Akman</t>
  </si>
  <si>
    <t>Titular Efetivo (63% min)</t>
  </si>
  <si>
    <t>21/03/2006</t>
  </si>
  <si>
    <t>Turquia</t>
  </si>
  <si>
    <t>€ 3.500.000</t>
  </si>
  <si>
    <t>19 anos, POT 78 (+13 margem) e 735 min disputados (9J)</t>
  </si>
  <si>
    <t>Atleta de 19 anos (Turquia). posição MC (VOL). hierarquia atual 'Titular (MC)'. Overall 65 e Potencial 78 (margem de potencial +13; evolução real no save +1). Soma 735 min em 9 partidas (9T/0R). com 0 gol(s) verificado(s) por partida. 3 assistência(s) na temporada (3 G+A) e nota média 7.82. Vínculo: contrato até 2029 (Rodízio). avaliado em € 1.600.000.</t>
  </si>
  <si>
    <t>Marc Cardona</t>
  </si>
  <si>
    <t>Marc Cardona Rovira</t>
  </si>
  <si>
    <t>Titular (ATA)</t>
  </si>
  <si>
    <t>ATA</t>
  </si>
  <si>
    <t>Ataque</t>
  </si>
  <si>
    <t>09/07/1995</t>
  </si>
  <si>
    <t>Excelente (8,34)</t>
  </si>
  <si>
    <t>Titular com 637 min em 9J (54,4% do tempo possível, Nota 8,27)</t>
  </si>
  <si>
    <t>Atleta de 30 anos (Espanha). posição ATA (MD). hierarquia atual 'Titular (ATA)'. Overall 67 e Potencial 67 (margem de potencial +0; evolução real no save +0). Soma 637 min em 9 partidas (7T/2R). com 15 gol(s) verificado(s) por partida. 1 assistência(s) na temporada (16 G+A) e nota média 8.27. Vínculo: contrato até 2028 (Rodízio). avaliado em € 1.200.000.</t>
  </si>
  <si>
    <t>Áron Yaakobishvili</t>
  </si>
  <si>
    <t>Titular (GOL)</t>
  </si>
  <si>
    <t>Titular Efetivo (62% min)</t>
  </si>
  <si>
    <t>GOL</t>
  </si>
  <si>
    <t>Goleiro</t>
  </si>
  <si>
    <t>07/03/2006</t>
  </si>
  <si>
    <t>Hungria</t>
  </si>
  <si>
    <t>Regular (6,60)</t>
  </si>
  <si>
    <t>19 anos, POT 82 (+10 margem) e 720 min disputados (8J)</t>
  </si>
  <si>
    <t>Atleta de 19 anos (Hungria). posição GOL. hierarquia atual 'Titular (GOL)'. Overall 72 e Potencial 82 (margem de potencial +10; evolução real no save +2). Soma 720 min em 8 partidas (8T/0R). com 0 gol(s) verificado(s) por partida. 0 assistência(s) na temporada (0 G+A) e nota média 6.84. Vínculo: atleta emprestado ao clube até 2026. avaliado em € 3.900.000.</t>
  </si>
  <si>
    <t>Gaël Alonso</t>
  </si>
  <si>
    <t>Gaël Alonso Moreno</t>
  </si>
  <si>
    <t>Suplente (Banco)</t>
  </si>
  <si>
    <t>Rotação Ativa (24% min)</t>
  </si>
  <si>
    <t>23/07/2002</t>
  </si>
  <si>
    <t>Oscilante (6,18)</t>
  </si>
  <si>
    <t>Participação regular na rotação (286 min em 5J, OVR 67)</t>
  </si>
  <si>
    <t>Atleta de 23 anos (Espanha). posição ZAG. hierarquia atual 'Suplente (Banco)'. Overall 67 e Potencial 74 (margem de potencial +7; evolução real no save +1). Soma 286 min em 5 partidas (4T/1R). com 0 gol(s) verificado(s) por partida. 0 assistência(s) na temporada (0 G+A) e nota média 6.18. Vínculo: contrato até 2028 (Rodízio). avaliado em € 2.100.000.</t>
  </si>
  <si>
    <t>Jesús Owono</t>
  </si>
  <si>
    <t>Jesús Lázaro Owono Ngua Akeng</t>
  </si>
  <si>
    <t>Titular Efetivo (38% min)</t>
  </si>
  <si>
    <t>02/03/2001</t>
  </si>
  <si>
    <t>Guiné Equatorial</t>
  </si>
  <si>
    <t>Participação regular na rotação (450 min em 5J, OVR 68)</t>
  </si>
  <si>
    <t>Atleta de 24 anos (Guiné Equatorial). posição GOL. hierarquia atual 'Suplente (Banco)'. Overall 68 e Potencial 73 (margem de potencial +5; evolução real no save +1). Soma 450 min em 5 partidas (5T/0R). com 0 gol(s) verificado(s) por partida. 0 assistência(s) na temporada (0 G+A) e nota média 6.60. Vínculo: contrato até 2029 (Rodízio). avaliado em € 1.500.000.</t>
  </si>
  <si>
    <t>Sergio Molina</t>
  </si>
  <si>
    <t>Sergio Molina Beloqui</t>
  </si>
  <si>
    <t>Titular Efetivo (44% min)</t>
  </si>
  <si>
    <t>VOL, ZAG</t>
  </si>
  <si>
    <t>19/02/1996</t>
  </si>
  <si>
    <t>Participação regular na rotação (514 min em 10J, OVR 66)</t>
  </si>
  <si>
    <t>Atleta de 29 anos (Espanha). posição MC (VOL. ZAG). hierarquia atual 'Suplente (Banco)'. Overall 66 e Potencial 66 (margem de potencial +0; evolução real no save +0). Soma 514 min em 10 partidas (6T/4R). com 3 gol(s) verificado(s) por partida. 0 assistência(s) na temporada (3 G+A) e nota média 7.16. Vínculo: contrato até 2028 (Rodízio). avaliado em € 975.000.</t>
  </si>
  <si>
    <t>Aingeru Olabarrieta</t>
  </si>
  <si>
    <t>Aingeru Olabarrieta Capelo</t>
  </si>
  <si>
    <t>15/11/2005</t>
  </si>
  <si>
    <t>Regular (6,78)</t>
  </si>
  <si>
    <t>19 anos, POT 81 (+12 margem) e 467 min disputados (9J)</t>
  </si>
  <si>
    <t>Atleta de 19 anos (Espanha). posição PD (MD). hierarquia atual 'Suplente (Banco)'. Overall 69 e Potencial 81 (margem de potencial +12; evolução real no save +2). Soma 467 min em 9 partidas (6T/3R). com 1 gol(s) verificado(s) por partida. 3 assistência(s) na temporada (4 G+A) e nota média 6.69. Vínculo: atleta emprestado ao clube até 2026. avaliado em € 2.900.000.</t>
  </si>
  <si>
    <t>Thomas Carrique</t>
  </si>
  <si>
    <t>Titular Efetivo (50% min)</t>
  </si>
  <si>
    <t>27/02/1999</t>
  </si>
  <si>
    <t>França</t>
  </si>
  <si>
    <t>€ 1.800.000</t>
  </si>
  <si>
    <t>Regular (6,90)</t>
  </si>
  <si>
    <t>Participação regular na rotação (581 min em 10J, OVR 67)</t>
  </si>
  <si>
    <t>Atleta de 26 anos (França). posição LD (MD). hierarquia atual 'Suplente (Banco)'. Overall 67 e Potencial 67 (margem de potencial +0; evolução real no save +1). Soma 581 min em 10 partidas (8T/2R). com 0 gol(s) verificado(s) por partida. 2 assistência(s) na temporada (2 G+A) e nota média 6.72. Vínculo: contrato até 2027 (Rodízio). avaliado em € 1.100.000.</t>
  </si>
  <si>
    <t>Martí Vilà</t>
  </si>
  <si>
    <t>Martí Vilà García</t>
  </si>
  <si>
    <t>Titular Efetivo (47% min)</t>
  </si>
  <si>
    <t>ZAG, ME</t>
  </si>
  <si>
    <t>25/05/1999</t>
  </si>
  <si>
    <t>Oscilante (6,34)</t>
  </si>
  <si>
    <t>Participação regular na rotação (555 min em 11J, OVR 67)</t>
  </si>
  <si>
    <t>Atleta de 26 anos (Espanha). posição LE (ZAG. ME). hierarquia atual 'Suplente (Banco)'. Overall 67 e Potencial 67 (margem de potencial +0; evolução real no save +1). Soma 555 min em 11 partidas (7T/4R). com 0 gol(s) verificado(s) por partida. 0 assistência(s) na temporada (0 G+A) e nota média 6.39. Vínculo: contrato até 2028 (Rodízio). avaliado em € 1.100.000.</t>
  </si>
  <si>
    <t>Kim Min Su</t>
  </si>
  <si>
    <t>Min Su Kim</t>
  </si>
  <si>
    <t>20/01/2006</t>
  </si>
  <si>
    <t>Coreia do Sul</t>
  </si>
  <si>
    <t>Regular (6,58)</t>
  </si>
  <si>
    <t>19 anos, POT 82 (+11 margem) e 462 min disputados (10J)</t>
  </si>
  <si>
    <t>Atleta de 19 anos (Coreia do Sul). posição PE (ME). hierarquia atual 'Suplente (Banco)'. Overall 71 e Potencial 82 (margem de potencial +11; evolução real no save +1). Soma 462 min em 10 partidas (7T/3R). com 1 gol(s) verificado(s) por partida. 1 assistência(s) na temporada (2 G+A) e nota média 6.68. Vínculo: atleta emprestado ao clube até 2026. avaliado em € 4.500.000.</t>
  </si>
  <si>
    <t>Álex Calvo</t>
  </si>
  <si>
    <t>Alejandro Calvo Mata</t>
  </si>
  <si>
    <t>Reserva (Não Relacionado)</t>
  </si>
  <si>
    <t>21/02/2004</t>
  </si>
  <si>
    <t>€ 2.800.000</t>
  </si>
  <si>
    <t>Regular (6,66)</t>
  </si>
  <si>
    <t>Participação regular na rotação (285 min em 5J, OVR 67)</t>
  </si>
  <si>
    <t>Atleta de 21 anos (Espanha). posição PD (MD). hierarquia atual 'Reserva (Não Relacionado)'. Overall 67 e Potencial 72 (margem de potencial +5; evolução real no save +1). Soma 285 min em 5 partidas (4T/1R). com 0 gol(s) verificado(s) por partida. 1 assistência(s) na temporada (1 G+A) e nota média 6.66. Vínculo: contrato até 2028 (Rodízio). avaliado em € 1.600.000.</t>
  </si>
  <si>
    <t>Álvaro Martín</t>
  </si>
  <si>
    <t>Rotação Ativa (29% min)</t>
  </si>
  <si>
    <t>16/01/2001</t>
  </si>
  <si>
    <t>Regular (6,70)</t>
  </si>
  <si>
    <t>Participação regular na rotação (343 min em 5J, OVR 63)</t>
  </si>
  <si>
    <t>Atleta de 24 anos (Espanha). posição MC (MEI. VOL). hierarquia atual 'Reserva (Não Relacionado)'. Overall 63 e Potencial 68 (margem de potencial +5; evolução real no save +0). Soma 343 min em 5 partidas (4T/1R). com 0 gol(s) verificado(s) por partida. 0 assistência(s) na temporada (0 G+A) e nota média 6.70. Vínculo: contrato até 2030 (Rodízio). avaliado em € 850.000.</t>
  </si>
  <si>
    <t>Lautaro de León</t>
  </si>
  <si>
    <t>Lautaro de León Billar</t>
  </si>
  <si>
    <t>Titular Efetivo (46% min)</t>
  </si>
  <si>
    <t>10/02/2001</t>
  </si>
  <si>
    <t>Uruguai</t>
  </si>
  <si>
    <t>€ 4.000.000</t>
  </si>
  <si>
    <t>Participação regular na rotação (534 min em 7J, OVR 68)</t>
  </si>
  <si>
    <t>Atleta de 24 anos (Uruguai). posição ATA. hierarquia atual 'Reserva (Não Relacionado)'. Overall 68 e Potencial 72 (margem de potencial +4; evolução real no save +1). Soma 534 min em 7 partidas (7T/0R). com 5 gol(s) verificado(s) por partida. 0 assistência(s) na temporada (5 G+A) e nota média 7.11. Vínculo: contrato até 2028 (Importante). avaliado em € 1.800.000.</t>
  </si>
  <si>
    <t>Marc Doménech</t>
  </si>
  <si>
    <t>Titular Efetivo (34% min)</t>
  </si>
  <si>
    <t>02/11/2002</t>
  </si>
  <si>
    <t>Oscilante (6,42)</t>
  </si>
  <si>
    <t>Participação regular na rotação (397 min em 9J, OVR 65)</t>
  </si>
  <si>
    <t>Atleta de 22 anos (Espanha). posição MC (VOL). hierarquia atual 'Reserva (Não Relacionado)'. Overall 65 e Potencial 71 (margem de potencial +6; evolução real no save +1). Soma 397 min em 9 partidas (4T/5R). com 0 gol(s) verificado(s) por partida. 0 assistência(s) na temporada (0 G+A) e nota média 6.73. Vínculo: contrato até 2028 (Rodízio). avaliado em € 1.400.000.</t>
  </si>
  <si>
    <t>Diego Alende</t>
  </si>
  <si>
    <t>Diego Alende López</t>
  </si>
  <si>
    <t>Titular Efetivo (31% min)</t>
  </si>
  <si>
    <t>26/08/1997</t>
  </si>
  <si>
    <t>Boa (7,30)</t>
  </si>
  <si>
    <t>Suplente com boa produção em 4J / 360 min (Nota 7,30, 0 G+A); sugestão consultiva sem alterar escalação</t>
  </si>
  <si>
    <t>Atleta de 28 anos (Espanha). posição ZAG. hierarquia atual 'Reserva (Não Relacionado)'. Overall 67 e Potencial 68 (margem de potencial +1; evolução real no save +1). Soma 360 min em 4 partidas (4T/0R). com 0 gol(s) verificado(s) por partida. 0 assistência(s) na temporada (0 G+A) e nota média 7.30. Vínculo: contrato até 2027 (Rodízio). avaliado em € 1.100.000.</t>
  </si>
  <si>
    <t>Théo Le Normand</t>
  </si>
  <si>
    <t>Suplente Acionado (14% min)</t>
  </si>
  <si>
    <t>MEI</t>
  </si>
  <si>
    <t>09/08/2000</t>
  </si>
  <si>
    <t>Boa (7,10)</t>
  </si>
  <si>
    <t>Participação regular na rotação (168 min em 3J, OVR 63)</t>
  </si>
  <si>
    <t>Atleta de 25 anos (França). posição MEI (MC). hierarquia atual 'Reserva (Não Relacionado)'. Overall 63 e Potencial 66 (margem de potencial +3; evolução real no save +0). Soma 168 min em 3 partidas (3T/0R). com 0 gol(s) verificado(s) por partida. 1 assistência(s) na temporada (1 G+A) e nota média 7.10. Vínculo: contrato até 2029 (Rodízio). avaliado em € 775.000.</t>
  </si>
  <si>
    <t>Valle Gómez</t>
  </si>
  <si>
    <t>Rotação Ativa (18% min)</t>
  </si>
  <si>
    <t>24/05/2005</t>
  </si>
  <si>
    <t>€ 920.000</t>
  </si>
  <si>
    <t>⚠️ Crítico: Expira em 2026 (&lt;1 ano)</t>
  </si>
  <si>
    <t>Boa (7,40)</t>
  </si>
  <si>
    <t>Suplente com boa produção em 3J / 211 min (Nota 7,40, 1 G+A); sugestão consultiva sem alterar escalação</t>
  </si>
  <si>
    <t>Atleta de 20 anos (Espanha). posição MC (VOL). hierarquia atual 'Reserva (Não Relacionado)'. Overall 58 e Potencial 69 (margem de potencial +11; evolução real no save +0). Soma 211 min em 3 partidas (3T/0R). com 0 gol(s) verificado(s) por partida. 1 assistência(s) na temporada (1 G+A) e nota média 7.40. Vínculo: contrato até 2026 (Rodízio). avaliado em € 525.000.</t>
  </si>
  <si>
    <t>REGISTROS INDIVIDUAIS POR PARTIDA (FONTE PRIMÁRIA DO SISTEMA) — FC ANDORRA</t>
  </si>
  <si>
    <t>Total: 202 atuações em 13 jogos | Soma de Gols nos Logs: 32 gols | Assistências por Partida: valor exato ou 'N/D' quando o binário guarda apenas o acumulado da competição</t>
  </si>
  <si>
    <t>Jogo #</t>
  </si>
  <si>
    <t>Data</t>
  </si>
  <si>
    <t>Competição</t>
  </si>
  <si>
    <t>Adversário</t>
  </si>
  <si>
    <t>Mando</t>
  </si>
  <si>
    <t>Placar</t>
  </si>
  <si>
    <t>Nº</t>
  </si>
  <si>
    <t>Posição Exercida</t>
  </si>
  <si>
    <t>Minutos</t>
  </si>
  <si>
    <t>Gols na Partida</t>
  </si>
  <si>
    <t>Assistências na Partida</t>
  </si>
  <si>
    <t>Nota Oficial</t>
  </si>
  <si>
    <t>#1</t>
  </si>
  <si>
    <t>18/07/2025</t>
  </si>
  <si>
    <t>Torneio de Pré-Temporada (Champions Trophy)</t>
  </si>
  <si>
    <t>Fortuna Sittard</t>
  </si>
  <si>
    <t>Casa</t>
  </si>
  <si>
    <t>1 x 1</t>
  </si>
  <si>
    <t>N/D</t>
  </si>
  <si>
    <t>LE (SUB)</t>
  </si>
  <si>
    <t>ZAG (SUB)</t>
  </si>
  <si>
    <t>LD (SUB)</t>
  </si>
  <si>
    <t>MC (SUB)</t>
  </si>
  <si>
    <t>ME (SUB)</t>
  </si>
  <si>
    <t>PD (SUB)</t>
  </si>
  <si>
    <t>#2</t>
  </si>
  <si>
    <t>22/07/2025</t>
  </si>
  <si>
    <t>Aberdeen</t>
  </si>
  <si>
    <t>Fora</t>
  </si>
  <si>
    <t>0 x 2</t>
  </si>
  <si>
    <t>#3</t>
  </si>
  <si>
    <t>26/07/2025</t>
  </si>
  <si>
    <t>Estrela da Amadora</t>
  </si>
  <si>
    <t>3 x 0</t>
  </si>
  <si>
    <t>MEI (SUB)</t>
  </si>
  <si>
    <t>MD (SUB)</t>
  </si>
  <si>
    <t>#4</t>
  </si>
  <si>
    <t>17/08/2025</t>
  </si>
  <si>
    <t>LaLiga Hypermotion</t>
  </si>
  <si>
    <t>UD Las Palmas</t>
  </si>
  <si>
    <t>ATA (SUB)</t>
  </si>
  <si>
    <t>#5</t>
  </si>
  <si>
    <t>23/08/2025</t>
  </si>
  <si>
    <t>Real Zaragoza</t>
  </si>
  <si>
    <t>1 x 5</t>
  </si>
  <si>
    <t>#6</t>
  </si>
  <si>
    <t>31/08/2025</t>
  </si>
  <si>
    <t>Burgos CF</t>
  </si>
  <si>
    <t>#7</t>
  </si>
  <si>
    <t>07/09/2025</t>
  </si>
  <si>
    <t>CD Mirandés</t>
  </si>
  <si>
    <t>2 x 0</t>
  </si>
  <si>
    <t>#8</t>
  </si>
  <si>
    <t>13/09/2025</t>
  </si>
  <si>
    <t>Córdoba CF</t>
  </si>
  <si>
    <t>2 x 2</t>
  </si>
  <si>
    <t>#9</t>
  </si>
  <si>
    <t>21/09/2025</t>
  </si>
  <si>
    <t>SD Eibar</t>
  </si>
  <si>
    <t>0 x 1</t>
  </si>
  <si>
    <t>#10</t>
  </si>
  <si>
    <t>27/09/2025</t>
  </si>
  <si>
    <t>Racing de Santander</t>
  </si>
  <si>
    <t>0 x 5</t>
  </si>
  <si>
    <t>PE (SUB)</t>
  </si>
  <si>
    <t>#11</t>
  </si>
  <si>
    <t>04/10/2025</t>
  </si>
  <si>
    <t>CD Leganés</t>
  </si>
  <si>
    <t>#12</t>
  </si>
  <si>
    <t>12/10/2025</t>
  </si>
  <si>
    <t>Real Sociedad B</t>
  </si>
  <si>
    <t>0 x 4</t>
  </si>
  <si>
    <t>#13</t>
  </si>
  <si>
    <t>19/10/2025</t>
  </si>
  <si>
    <t>Granada CF</t>
  </si>
  <si>
    <t>3 x 2</t>
  </si>
  <si>
    <t>HISTÓRICO DE JOGOS DISPUTADOS — FC ANDORRA</t>
  </si>
  <si>
    <t>Campanha: 13J: 9V 4E 0D · 32 GP / 8 GC (Invicto!)</t>
  </si>
  <si>
    <t>Jogo</t>
  </si>
  <si>
    <t>Etapa / Rodada</t>
  </si>
  <si>
    <t>Mandante</t>
  </si>
  <si>
    <t>Visitante</t>
  </si>
  <si>
    <t>Resultado</t>
  </si>
  <si>
    <t>Artilheiros Conciliados (stndgs)</t>
  </si>
  <si>
    <t>Goleiro Titular</t>
  </si>
  <si>
    <t>Fase de Grupos - Rodada 1</t>
  </si>
  <si>
    <t>FC Andorra</t>
  </si>
  <si>
    <t>Empate</t>
  </si>
  <si>
    <t>Lautaro de León (1)</t>
  </si>
  <si>
    <t>Fase de Grupos - Rodada 2</t>
  </si>
  <si>
    <t>Vitória</t>
  </si>
  <si>
    <t>Yeray Cabanzón (1), Imanol (1)</t>
  </si>
  <si>
    <t>Fase de Grupos - Rodada 3 (Título!)</t>
  </si>
  <si>
    <t>Lautaro de León (2), Daniel Villahermosa (1)</t>
  </si>
  <si>
    <t>Rodada 1</t>
  </si>
  <si>
    <t>Kim Min Su (1), Marc Cardona (1)</t>
  </si>
  <si>
    <t>Rodada 2</t>
  </si>
  <si>
    <t>Yeray Cabanzón (2), Marc Cardona (3)</t>
  </si>
  <si>
    <t>Rodada 3</t>
  </si>
  <si>
    <t>Manu Bueno (1)</t>
  </si>
  <si>
    <t>Rodada 4</t>
  </si>
  <si>
    <t>Lautaro de León (1), Aingeru Olabarrieta (1)</t>
  </si>
  <si>
    <t>Rodada 5</t>
  </si>
  <si>
    <t>Marc Cardona (1), Manu Bueno (1)</t>
  </si>
  <si>
    <t>Rodada 6</t>
  </si>
  <si>
    <t>Rodada 7</t>
  </si>
  <si>
    <t>Marc Cardona (4), Sergio Molina (1)</t>
  </si>
  <si>
    <t>Rodada 11</t>
  </si>
  <si>
    <t>Marc Cardona (1)</t>
  </si>
  <si>
    <t>Rodada 12</t>
  </si>
  <si>
    <t>Marc Cardona (4)</t>
  </si>
  <si>
    <t>Rodada 13</t>
  </si>
  <si>
    <t>Sergio Molina (2), Marc Cardona (1)</t>
  </si>
  <si>
    <t>TABELAS DE CLASSIFICAÇÃO — COMPETIÇÕES DE FC ANDORRA</t>
  </si>
  <si>
    <t>Dados Extraídos e Conciliados Diretamente do Bloco de Competições do Save (mlop)</t>
  </si>
  <si>
    <t>LaLiga Hypermotion (Espanha — Liga Nacional)</t>
  </si>
  <si>
    <t>Pos</t>
  </si>
  <si>
    <t>Clube</t>
  </si>
  <si>
    <t>Pontos</t>
  </si>
  <si>
    <t>Jogos</t>
  </si>
  <si>
    <t>Vitórias</t>
  </si>
  <si>
    <t>Empates</t>
  </si>
  <si>
    <t>Derrotas</t>
  </si>
  <si>
    <t>Gols Pró</t>
  </si>
  <si>
    <t>Gols Contra</t>
  </si>
  <si>
    <t>Saldo</t>
  </si>
  <si>
    <t>Casa / Fora</t>
  </si>
  <si>
    <t>1º</t>
  </si>
  <si>
    <t>C: 2V 3E 0D (9:6) | F: 5V 0E 0D (17:1)</t>
  </si>
  <si>
    <t>2º</t>
  </si>
  <si>
    <t>C: 3V 1E 1D (7:3) | F: 4V 1E 0D (7:3)</t>
  </si>
  <si>
    <t>3º</t>
  </si>
  <si>
    <t>Real Sporting de Gijón</t>
  </si>
  <si>
    <t>C: 2V 2E 1D (7:8) | F: 4V 0E 1D (13:5)</t>
  </si>
  <si>
    <t>4º</t>
  </si>
  <si>
    <t>C: 4V 1E 1D (9:9) | F: 2V 1E 1D (7:5)</t>
  </si>
  <si>
    <t>5º</t>
  </si>
  <si>
    <t>RC Deportivo</t>
  </si>
  <si>
    <t>C: 3V 0E 1D (8:5) | F: 2V 3E 1D (8:5)</t>
  </si>
  <si>
    <t>6º</t>
  </si>
  <si>
    <t>Cádiz CF</t>
  </si>
  <si>
    <t>C: 4V 0E 2D (11:4) | F: 1V 2E 1D (3:3)</t>
  </si>
  <si>
    <t>7º</t>
  </si>
  <si>
    <t>Albacete Balompié</t>
  </si>
  <si>
    <t>C: 2V 1E 1D (5:3) | F: 3V 1E 2D (9:5)</t>
  </si>
  <si>
    <t>8º</t>
  </si>
  <si>
    <t>Real Valladolid</t>
  </si>
  <si>
    <t>C: 3V 1E 2D (4:4) | F: 2V 1E 1D (5:4)</t>
  </si>
  <si>
    <t>9º</t>
  </si>
  <si>
    <t>C: 2V 2E 1D (9:7) | F: 2V 2E 1D (9:5)</t>
  </si>
  <si>
    <t>10º</t>
  </si>
  <si>
    <t>SD Huesca</t>
  </si>
  <si>
    <t>C: 1V 4E 0D (7:6) | F: 2V 2E 1D (5:4)</t>
  </si>
  <si>
    <t>11º</t>
  </si>
  <si>
    <t>C: 1V 2E 2D (4:7) | F: 2V 3E 0D (9:4)</t>
  </si>
  <si>
    <t>12º</t>
  </si>
  <si>
    <t>CD Castellón</t>
  </si>
  <si>
    <t>C: 2V 1E 2D (6:9) | F: 2V 1E 2D (8:6)</t>
  </si>
  <si>
    <t>13º</t>
  </si>
  <si>
    <t>Málaga CF</t>
  </si>
  <si>
    <t>C: 1V 1E 3D (4:7) | F: 2V 1E 2D (8:6)</t>
  </si>
  <si>
    <t>14º</t>
  </si>
  <si>
    <t>C: 2V 1E 3D (5:7) | F: 1V 1E 2D (7:8)</t>
  </si>
  <si>
    <t>15º</t>
  </si>
  <si>
    <t>C: 1V 3E 1D (8:7) | F: 0V 3E 2D (4:10)</t>
  </si>
  <si>
    <t>16º</t>
  </si>
  <si>
    <t>C: 1V 1E 2D (2:6) | F: 1V 1E 4D (3:9)</t>
  </si>
  <si>
    <t>17º</t>
  </si>
  <si>
    <t>C: 1V 2E 2D (5:6) | F: 0V 2E 3D (4:8)</t>
  </si>
  <si>
    <t>18º</t>
  </si>
  <si>
    <t>UD Almería</t>
  </si>
  <si>
    <t>C: 0V 1E 3D (2:8) | F: 1V 3E 2D (8:9)</t>
  </si>
  <si>
    <t>19º</t>
  </si>
  <si>
    <t>Cultural Leonesa</t>
  </si>
  <si>
    <t>C: 0V 2E 2D (4:9) | F: 1V 2E 2D (4:7)</t>
  </si>
  <si>
    <t>20º</t>
  </si>
  <si>
    <t>AD Ceuta</t>
  </si>
  <si>
    <t>C: 1V 2E 2D (6:8) | F: 0V 1E 4D (4:9)</t>
  </si>
  <si>
    <t>21º</t>
  </si>
  <si>
    <t>C: 0V 4E 2D (7:12) | F: 0V 2E 2D (2:7)</t>
  </si>
  <si>
    <t>22º</t>
  </si>
  <si>
    <t>C: 0V 0E 4D (2:11) | F: 1V 2E 2D (8:8)</t>
  </si>
  <si>
    <t>Torneio de Pré-Temporada (Champions Trophy) (Internacional — Pré-Temporada / Amistoso)</t>
  </si>
  <si>
    <t>C: 1V 1E 0D (4:1) | F: 1V 0E 0D (2:0)</t>
  </si>
  <si>
    <t>Cagliari</t>
  </si>
  <si>
    <t>C: 1V 1E 0D (4:2) | F: 1V 0E 0D (2:1)</t>
  </si>
  <si>
    <t>AVS Futebol SAD</t>
  </si>
  <si>
    <t>C: 1V 1E 0D (3:2) | F: 0V 1E 0D (0:0)</t>
  </si>
  <si>
    <t>Genoa</t>
  </si>
  <si>
    <t>C: 1V 0E 0D (1:0) | F: 0V 2E 0D (2:2)</t>
  </si>
  <si>
    <t>Udinese</t>
  </si>
  <si>
    <t>C: 1V 0E 1D (2:2) | F: 0V 1E 0D (1:1)</t>
  </si>
  <si>
    <t>C: 0V 1E 0D (1:1) | F: 0V 1E 1D (1:4)</t>
  </si>
  <si>
    <t>C: 0V 1E 0D (0:0) | F: 0V 0E 2D (1:5)</t>
  </si>
  <si>
    <t>C: 0V 0E 1D (1:2) | F: 0V 0E 2D (1:3)</t>
  </si>
  <si>
    <t>AUDITORIA AUTOMÁTICA DE INTEGRIDADE DOS DADOS (8 Verificados · 1 Parcial (N/D no Binário))</t>
  </si>
  <si>
    <t>Distingue rigorosamente métricas 100% verificadas por partida de métricas parciais (onde o jogo grava apenas o acumulado da competição)</t>
  </si>
  <si>
    <t>#</t>
  </si>
  <si>
    <t>Regra de Validação</t>
  </si>
  <si>
    <t>Status de Verificação</t>
  </si>
  <si>
    <t>Evidência Primária Encontrada no Save</t>
  </si>
  <si>
    <t>Critério Técnico de Auditoria</t>
  </si>
  <si>
    <t>Conciliação Cruzada de Gols (Partidas × Logs Individuais × Elenco)</t>
  </si>
  <si>
    <t>Partidas: 32 GP (26 Liga + 6 Pré-Temp) == Soma dos 90 Logs por Jogo: 32 Gols == Soma do Elenco: 32 Gols.</t>
  </si>
  <si>
    <t>Os gols acumulados no elenco são recalculados diretamente da soma dos logs por partida e conciliados com o placar de cada confronto.</t>
  </si>
  <si>
    <t>Assistências e Participações em Gol (G+A): Competição vs. Logs por Partida</t>
  </si>
  <si>
    <t>PARCIAL (NÃO VERIFICADO POR PARTIDA)</t>
  </si>
  <si>
    <t>Fórmula G+A validada (32G + 30A = 62 G+A) e totais por competição validados no bloco stndgs (7 Liga + 5 Pré-Temp = 12 A). Nos 90 logs por partida: 65 atuações com assistência deduzida com certeza e 137 marcadas como 'N/D' (o binário do EA FC não grava assistências por partida nos slots históricos).</t>
  </si>
  <si>
    <t>Não aprova como 'OK' absoluto quando o jogo fornece apenas o acumulado da competição sem discriminar em qual rodada ocorreu cada assistência.</t>
  </si>
  <si>
    <t>Fonte Única de Minutos e Jogos (Derivados 100% dos Logs por Partida)</t>
  </si>
  <si>
    <t>OK (VERIFICADO)</t>
  </si>
  <si>
    <t>0 divergências entre soma dos logs e tabela do elenco. Teto de 13J (1170m): máximo registrado é Edgar González (930m).</t>
  </si>
  <si>
    <t>Garante que Jogos (T/R), Minutos e Nota Média do elenco sejam calculados exclusivamente a partir dos registros individuais por partida.</t>
  </si>
  <si>
    <t>Percentuais de Passe/Drible e xG/xA sem Denominador Falso</t>
  </si>
  <si>
    <t>Campos sem denominador acumulado no save (xG, xA, % passes e % dribles da temporada) exibidos como 'N/D' (nunca 0.00 ou 100% de jogo único).</t>
  </si>
  <si>
    <t>Impede que estatísticas de uma única partida (mxif) ou zeros sem tentativas registradas distorçam a análise da temporada.</t>
  </si>
  <si>
    <t>Separação entre Margem de Potencial (POT − OVR) e Evolução Real</t>
  </si>
  <si>
    <t>Margem POT (POT − OVR) validada em 25 atletas e separada da Evolução Real medida contra o baseline_snapshot.json.</t>
  </si>
  <si>
    <t>Distingue potencial restante de crescimento real obtido desde o início do acompanhamento do save.</t>
  </si>
  <si>
    <t>Contratos Próximos do Fim (2026) e Multas sem Zero Ambíguo</t>
  </si>
  <si>
    <t>Zero ambíguo eliminado ('Sem multa rescisória' / 'Emprestado'). Alertas de último ano (2026): 1 atletas sinalizados.</t>
  </si>
  <si>
    <t>Nunca trata ausência de multa como € 0 numérico e sinaliza vínculos que expiram ao término da temporada atual.</t>
  </si>
  <si>
    <t>Conciliação Matemática das Tabelas de Classificação</t>
  </si>
  <si>
    <t>Validadas 2 competições do clube: Pontos (V×3+E), Jogos (V+E+D) e Saldo (GP−GC) exatos em 100% dos clubes.</t>
  </si>
  <si>
    <t>Recalcula pontos, vitórias, empates, derrotas e saldo de gols e confere com os resultados registrados da equipe.</t>
  </si>
  <si>
    <t>Trava de Amostra Mínima e Independência da Hierarquia Tática</t>
  </si>
  <si>
    <t>0 atletas com amostra curta (≤2J ou &lt;150m) classificados como 'Amostra insuficiente — continuar observando' (0 recomendações precipitadas; hierarquia do treinador preservada).</t>
  </si>
  <si>
    <t>Exige ≥3 jogos e ≥150 minutos antes de sugerir maior rotação e jamais altera automaticamente o status de escalação definido pelo treinador.</t>
  </si>
  <si>
    <t>Descrições 100% Derivadas dos Campos Numéricos (Zero Textos Manuais)</t>
  </si>
  <si>
    <t>Todos os 25 textos descritivos gerados dinamicamente a partir de OVR, POT, Idade e Minutos atuais (0 contradições).</t>
  </si>
  <si>
    <t>Impede que descrições textuais antigas contradigam os valores numéricos atualizados.</t>
  </si>
</sst>
</file>

<file path=xl/styles.xml><?xml version="1.0" encoding="utf-8"?>
<styleSheet xmlns="http://schemas.openxmlformats.org/spreadsheetml/2006/main">
  <numFmts count="4">
    <numFmt numFmtId="164" formatCode="+0;-0;0"/>
    <numFmt numFmtId="165" formatCode="€ #,##0"/>
    <numFmt numFmtId="166" formatCode="0.0%"/>
    <numFmt numFmtId="167" formatCode="0.00"/>
  </numFmts>
  <fonts count="10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10"/>
      <color rgb="FFE2E8F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166534"/>
      <name val="Calibri"/>
      <family val="2"/>
      <scheme val="minor"/>
    </font>
    <font>
      <b/>
      <sz val="10"/>
      <color rgb="FF92400E"/>
      <name val="Calibri"/>
      <family val="2"/>
      <scheme val="minor"/>
    </font>
    <font>
      <b/>
      <sz val="10"/>
      <color rgb="FF991B1B"/>
      <name val="Calibri"/>
      <family val="2"/>
      <scheme val="minor"/>
    </font>
    <font>
      <b/>
      <sz val="10"/>
      <color rgb="FF1E3A8A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82232"/>
        <bgColor indexed="64"/>
      </patternFill>
    </fill>
    <fill>
      <patternFill patternType="solid">
        <fgColor rgb="FF223046"/>
        <bgColor indexed="64"/>
      </patternFill>
    </fill>
    <fill>
      <patternFill patternType="solid">
        <fgColor rgb="FF2B3A55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BEA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9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2" width="16.7109375" customWidth="1"/>
    <col min="3" max="4" width="24.7109375" customWidth="1"/>
    <col min="5" max="38" width="16.7109375" customWidth="1"/>
    <col min="39" max="39" width="30.7109375" customWidth="1"/>
    <col min="40" max="41" width="42.7109375" customWidth="1"/>
    <col min="42" max="42" width="68.7109375" customWidth="1"/>
  </cols>
  <sheetData>
    <row r="1" spans="1:42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2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4" spans="1:42" ht="3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</row>
    <row r="5" spans="1:42" ht="21" customHeight="1">
      <c r="A5" s="4">
        <v>262498</v>
      </c>
      <c r="B5" s="4">
        <v>2</v>
      </c>
      <c r="C5" s="5" t="s">
        <v>44</v>
      </c>
      <c r="D5" s="6" t="s">
        <v>45</v>
      </c>
      <c r="E5" s="4" t="s">
        <v>46</v>
      </c>
      <c r="F5" s="4" t="s">
        <v>47</v>
      </c>
      <c r="G5" s="4" t="s">
        <v>48</v>
      </c>
      <c r="H5" s="4" t="s">
        <v>49</v>
      </c>
      <c r="I5" s="4" t="s">
        <v>50</v>
      </c>
      <c r="J5" s="4" t="s">
        <v>51</v>
      </c>
      <c r="K5" s="7">
        <v>66</v>
      </c>
      <c r="L5" s="8">
        <v>66</v>
      </c>
      <c r="M5" s="9">
        <f>L5-K5</f>
        <v>0</v>
      </c>
      <c r="N5" s="9">
        <f>K5-66</f>
        <v>0</v>
      </c>
      <c r="O5" s="4">
        <v>28</v>
      </c>
      <c r="P5" s="4" t="s">
        <v>52</v>
      </c>
      <c r="Q5" s="4" t="s">
        <v>53</v>
      </c>
      <c r="R5" s="10">
        <v>925000</v>
      </c>
      <c r="S5" s="10">
        <v>3600</v>
      </c>
      <c r="T5" s="4" t="s">
        <v>54</v>
      </c>
      <c r="U5" s="4">
        <v>2028</v>
      </c>
      <c r="V5" s="4" t="s">
        <v>55</v>
      </c>
      <c r="W5" s="4">
        <f>COUNTIFS('Desempenho por Jogo (Logs)'!$G$5:$G$206, A5)</f>
        <v>12</v>
      </c>
      <c r="X5" s="4">
        <f>COUNTIFS('Desempenho por Jogo (Logs)'!$G$5:$G$206, A5, 'Desempenho por Jogo (Logs)'!$J$5:$J$206, "&lt;&gt;RES")</f>
        <v>7</v>
      </c>
      <c r="Y5" s="4">
        <f>COUNTIFS('Desempenho por Jogo (Logs)'!$G$5:$G$206, A5, 'Desempenho por Jogo (Logs)'!$J$5:$J$206, "RES")</f>
        <v>5</v>
      </c>
      <c r="Z5" s="4">
        <f>SUMIFS('Desempenho por Jogo (Logs)'!$K$5:$K$206, 'Desempenho por Jogo (Logs)'!$G$5:$G$206, A5)</f>
        <v>574</v>
      </c>
      <c r="AA5" s="11">
        <f>IF(Z5&gt;0, Z5/540, 0)</f>
        <v>0.491</v>
      </c>
      <c r="AB5" s="4">
        <f>SUMIFS('Desempenho por Jogo (Logs)'!$L$5:$L$206, 'Desempenho por Jogo (Logs)'!$G$5:$G$206, A5)</f>
        <v>0</v>
      </c>
      <c r="AC5" s="4">
        <v>2</v>
      </c>
      <c r="AD5" s="12">
        <f>AB5+AC5</f>
        <v>2</v>
      </c>
      <c r="AE5" s="13">
        <f>IF(Z5&gt;0, ROUND((AD5/Z5)*90, 2), 0)</f>
        <v>0.31</v>
      </c>
      <c r="AF5" s="4">
        <f>SUMIFS('Desempenho por Jogo (Logs)'!$L$5:$L$206, 'Desempenho por Jogo (Logs)'!$G$5:$G$206, A5, 'Desempenho por Jogo (Logs)'!$C$5:$C$206, "*Liga*")</f>
        <v>0</v>
      </c>
      <c r="AG5" s="4">
        <v>2</v>
      </c>
      <c r="AH5" s="4">
        <f>SUMIFS('Desempenho por Jogo (Logs)'!$L$5:$L$206, 'Desempenho por Jogo (Logs)'!$G$5:$G$206, A5, 'Desempenho por Jogo (Logs)'!$C$5:$C$206, "*Trophy*")</f>
        <v>0</v>
      </c>
      <c r="AI5" s="4">
        <v>0</v>
      </c>
      <c r="AJ5" s="4">
        <v>0</v>
      </c>
      <c r="AK5" s="13">
        <f>IFERROR(ROUND(AVERAGEIFS('Desempenho por Jogo (Logs)'!$N$5:$N$206, 'Desempenho por Jogo (Logs)'!$G$5:$G$206, A5, 'Desempenho por Jogo (Logs)'!$N$5:$N$206, "&gt;0"), 2), "S/N")</f>
        <v>7.12</v>
      </c>
      <c r="AL5" s="4" t="s">
        <v>56</v>
      </c>
      <c r="AM5" s="4" t="str">
        <f>IF(W5=0, "Nula (0 jogos)", IF(OR(W5&lt;=2, Z5&lt;150), "Baixa — Amostra Insuficiente", IF(AND(W5&gt;=4, Z5&gt;=240), "Alta", "Moderada")))</f>
        <v>Alta (≥4J e ≥270m)</v>
      </c>
      <c r="AN5" s="5" t="str">
        <f>IF(W5=0, "Sem minutagem no save", IF(OR(W5&lt;=2, Z5&lt;150), "Amostra insuficiente (" &amp; W5 &amp; "J / " &amp; Z5 &amp; "m) — Continuar observando", IF(AK5&gt;=7.5, "Promover minutos / Titularidade em ascensão", IF(AK5&gt;=7.0, "Manter minutagem atual", "Avaliar opções / Rotação"))))</f>
        <v>Titular Regular na Temporada — Manter</v>
      </c>
      <c r="AO5" s="6" t="s">
        <v>57</v>
      </c>
      <c r="AP5" s="6" t="s">
        <v>58</v>
      </c>
    </row>
    <row r="6" spans="1:42" ht="21" customHeight="1">
      <c r="A6" s="4">
        <v>273022</v>
      </c>
      <c r="B6" s="4">
        <v>3</v>
      </c>
      <c r="C6" s="5" t="s">
        <v>59</v>
      </c>
      <c r="D6" s="6" t="s">
        <v>59</v>
      </c>
      <c r="E6" s="4" t="s">
        <v>60</v>
      </c>
      <c r="F6" s="4" t="s">
        <v>61</v>
      </c>
      <c r="G6" s="4" t="s">
        <v>48</v>
      </c>
      <c r="H6" s="4" t="s">
        <v>62</v>
      </c>
      <c r="I6" s="4" t="s">
        <v>63</v>
      </c>
      <c r="J6" s="4" t="s">
        <v>64</v>
      </c>
      <c r="K6" s="7">
        <v>67</v>
      </c>
      <c r="L6" s="8">
        <v>75</v>
      </c>
      <c r="M6" s="9">
        <f>L6-K6</f>
        <v>8</v>
      </c>
      <c r="N6" s="9">
        <f>K6-66</f>
        <v>1</v>
      </c>
      <c r="O6" s="4">
        <v>22</v>
      </c>
      <c r="P6" s="4" t="s">
        <v>65</v>
      </c>
      <c r="Q6" s="4" t="s">
        <v>53</v>
      </c>
      <c r="R6" s="10">
        <v>2300000</v>
      </c>
      <c r="S6" s="10">
        <v>3200</v>
      </c>
      <c r="T6" s="4" t="s">
        <v>54</v>
      </c>
      <c r="U6" s="4">
        <v>2027</v>
      </c>
      <c r="V6" s="4" t="s">
        <v>66</v>
      </c>
      <c r="W6" s="4">
        <f>COUNTIFS('Desempenho por Jogo (Logs)'!$G$5:$G$206, A6)</f>
        <v>7</v>
      </c>
      <c r="X6" s="4">
        <f>COUNTIFS('Desempenho por Jogo (Logs)'!$G$5:$G$206, A6, 'Desempenho por Jogo (Logs)'!$J$5:$J$206, "&lt;&gt;RES")</f>
        <v>6</v>
      </c>
      <c r="Y6" s="4">
        <f>COUNTIFS('Desempenho por Jogo (Logs)'!$G$5:$G$206, A6, 'Desempenho por Jogo (Logs)'!$J$5:$J$206, "RES")</f>
        <v>1</v>
      </c>
      <c r="Z6" s="4">
        <f>SUMIFS('Desempenho por Jogo (Logs)'!$K$5:$K$206, 'Desempenho por Jogo (Logs)'!$G$5:$G$206, A6)</f>
        <v>463</v>
      </c>
      <c r="AA6" s="11">
        <f>IF(Z6&gt;0, Z6/540, 0)</f>
        <v>0.396</v>
      </c>
      <c r="AB6" s="12">
        <f>SUMIFS('Desempenho por Jogo (Logs)'!$L$5:$L$206, 'Desempenho por Jogo (Logs)'!$G$5:$G$206, A6)</f>
        <v>3</v>
      </c>
      <c r="AC6" s="4">
        <v>4</v>
      </c>
      <c r="AD6" s="12">
        <f>AB6+AC6</f>
        <v>7</v>
      </c>
      <c r="AE6" s="13">
        <f>IF(Z6&gt;0, ROUND((AD6/Z6)*90, 2), 0)</f>
        <v>1.36</v>
      </c>
      <c r="AF6" s="4">
        <f>SUMIFS('Desempenho por Jogo (Logs)'!$L$5:$L$206, 'Desempenho por Jogo (Logs)'!$G$5:$G$206, A6, 'Desempenho por Jogo (Logs)'!$C$5:$C$206, "*Liga*")</f>
        <v>2</v>
      </c>
      <c r="AG6" s="4">
        <v>4</v>
      </c>
      <c r="AH6" s="4">
        <f>SUMIFS('Desempenho por Jogo (Logs)'!$L$5:$L$206, 'Desempenho por Jogo (Logs)'!$G$5:$G$206, A6, 'Desempenho por Jogo (Logs)'!$C$5:$C$206, "*Trophy*")</f>
        <v>1</v>
      </c>
      <c r="AI6" s="4">
        <v>0</v>
      </c>
      <c r="AJ6" s="4">
        <v>0</v>
      </c>
      <c r="AK6" s="13">
        <f>IFERROR(ROUND(AVERAGEIFS('Desempenho por Jogo (Logs)'!$N$5:$N$206, 'Desempenho por Jogo (Logs)'!$G$5:$G$206, A6, 'Desempenho por Jogo (Logs)'!$N$5:$N$206, "&gt;0"), 2), "S/N")</f>
        <v>7.66</v>
      </c>
      <c r="AL6" s="4" t="s">
        <v>67</v>
      </c>
      <c r="AM6" s="4" t="str">
        <f>IF(W6=0, "Nula (0 jogos)", IF(OR(W6&lt;=2, Z6&lt;150), "Baixa — Amostra Insuficiente", IF(AND(W6&gt;=4, Z6&gt;=240), "Alta", "Moderada")))</f>
        <v>Alta (≥4J e ≥270m)</v>
      </c>
      <c r="AN6" s="5" t="str">
        <f>IF(W6=0, "Sem minutagem no save", IF(OR(W6&lt;=2, Z6&lt;150), "Amostra insuficiente (" &amp; W6 &amp; "J / " &amp; Z6 &amp; "m) — Continuar observando", IF(AK6&gt;=7.5, "Promover minutos / Titularidade em ascensão", IF(AK6&gt;=7.0, "Manter minutagem atual", "Avaliar opções / Rotação"))))</f>
        <v>Titular Regular na Temporada — Manter</v>
      </c>
      <c r="AO6" s="6" t="s">
        <v>68</v>
      </c>
      <c r="AP6" s="6" t="s">
        <v>69</v>
      </c>
    </row>
    <row r="7" spans="1:42" ht="21" customHeight="1">
      <c r="A7" s="4">
        <v>271955</v>
      </c>
      <c r="B7" s="4">
        <v>5</v>
      </c>
      <c r="C7" s="5" t="s">
        <v>70</v>
      </c>
      <c r="D7" s="6" t="s">
        <v>71</v>
      </c>
      <c r="E7" s="4" t="s">
        <v>72</v>
      </c>
      <c r="F7" s="4" t="s">
        <v>73</v>
      </c>
      <c r="G7" s="4" t="s">
        <v>48</v>
      </c>
      <c r="H7" s="4" t="s">
        <v>74</v>
      </c>
      <c r="I7" s="4" t="s">
        <v>75</v>
      </c>
      <c r="J7" s="4" t="s">
        <v>51</v>
      </c>
      <c r="K7" s="7">
        <v>67</v>
      </c>
      <c r="L7" s="8">
        <v>78</v>
      </c>
      <c r="M7" s="9">
        <f>L7-K7</f>
        <v>11</v>
      </c>
      <c r="N7" s="9">
        <f>K7-65</f>
        <v>2</v>
      </c>
      <c r="O7" s="4">
        <v>19</v>
      </c>
      <c r="P7" s="4" t="s">
        <v>76</v>
      </c>
      <c r="Q7" s="4" t="s">
        <v>53</v>
      </c>
      <c r="R7" s="10">
        <v>1900000</v>
      </c>
      <c r="S7" s="10">
        <v>2000</v>
      </c>
      <c r="T7" s="4" t="s">
        <v>77</v>
      </c>
      <c r="U7" s="4">
        <v>2027</v>
      </c>
      <c r="V7" s="4" t="s">
        <v>66</v>
      </c>
      <c r="W7" s="4">
        <f>COUNTIFS('Desempenho por Jogo (Logs)'!$G$5:$G$206, A7)</f>
        <v>9</v>
      </c>
      <c r="X7" s="4">
        <f>COUNTIFS('Desempenho por Jogo (Logs)'!$G$5:$G$206, A7, 'Desempenho por Jogo (Logs)'!$J$5:$J$206, "&lt;&gt;RES")</f>
        <v>9</v>
      </c>
      <c r="Y7" s="4">
        <f>COUNTIFS('Desempenho por Jogo (Logs)'!$G$5:$G$206, A7, 'Desempenho por Jogo (Logs)'!$J$5:$J$206, "RES")</f>
        <v>0</v>
      </c>
      <c r="Z7" s="4">
        <f>SUMIFS('Desempenho por Jogo (Logs)'!$K$5:$K$206, 'Desempenho por Jogo (Logs)'!$G$5:$G$206, A7)</f>
        <v>765</v>
      </c>
      <c r="AA7" s="11">
        <f>IF(Z7&gt;0, Z7/540, 0)</f>
        <v>0.654</v>
      </c>
      <c r="AB7" s="4">
        <f>SUMIFS('Desempenho por Jogo (Logs)'!$L$5:$L$206, 'Desempenho por Jogo (Logs)'!$G$5:$G$206, A7)</f>
        <v>0</v>
      </c>
      <c r="AC7" s="4">
        <v>0</v>
      </c>
      <c r="AD7" s="4">
        <f>AB7+AC7</f>
        <v>0</v>
      </c>
      <c r="AE7" s="13">
        <f>IF(Z7&gt;0, ROUND((AD7/Z7)*90, 2), 0)</f>
        <v>0.0</v>
      </c>
      <c r="AF7" s="4">
        <f>SUMIFS('Desempenho por Jogo (Logs)'!$L$5:$L$206, 'Desempenho por Jogo (Logs)'!$G$5:$G$206, A7, 'Desempenho por Jogo (Logs)'!$C$5:$C$206, "*Liga*")</f>
        <v>0</v>
      </c>
      <c r="AG7" s="4">
        <v>0</v>
      </c>
      <c r="AH7" s="4">
        <f>SUMIFS('Desempenho por Jogo (Logs)'!$L$5:$L$206, 'Desempenho por Jogo (Logs)'!$G$5:$G$206, A7, 'Desempenho por Jogo (Logs)'!$C$5:$C$206, "*Trophy*")</f>
        <v>0</v>
      </c>
      <c r="AI7" s="4">
        <v>0</v>
      </c>
      <c r="AJ7" s="4">
        <v>0</v>
      </c>
      <c r="AK7" s="13">
        <f>IFERROR(ROUND(AVERAGEIFS('Desempenho por Jogo (Logs)'!$N$5:$N$206, 'Desempenho por Jogo (Logs)'!$G$5:$G$206, A7, 'Desempenho por Jogo (Logs)'!$N$5:$N$206, "&gt;0"), 2), "S/N")</f>
        <v>7.04</v>
      </c>
      <c r="AL7" s="4" t="s">
        <v>78</v>
      </c>
      <c r="AM7" s="4" t="str">
        <f>IF(W7=0, "Nula (0 jogos)", IF(OR(W7&lt;=2, Z7&lt;150), "Baixa — Amostra Insuficiente", IF(AND(W7&gt;=4, Z7&gt;=240), "Alta", "Moderada")))</f>
        <v>Alta (≥4J e ≥270m)</v>
      </c>
      <c r="AN7" s="5" t="str">
        <f>IF(W7=0, "Sem minutagem no save", IF(OR(W7&lt;=2, Z7&lt;150), "Amostra insuficiente (" &amp; W7 &amp; "J / " &amp; Z7 &amp; "m) — Continuar observando", IF(AK7&gt;=7.5, "Promover minutos / Titularidade em ascensão", IF(AK7&gt;=7.0, "Manter minutagem atual", "Avaliar opções / Rotação"))))</f>
        <v>Jovem em Desenvolvimento Ativo — Manter Minutagem</v>
      </c>
      <c r="AO7" s="6" t="s">
        <v>79</v>
      </c>
      <c r="AP7" s="6" t="s">
        <v>80</v>
      </c>
    </row>
    <row r="8" spans="1:42" ht="21" customHeight="1">
      <c r="A8" s="4">
        <v>266100</v>
      </c>
      <c r="B8" s="4">
        <v>6</v>
      </c>
      <c r="C8" s="5" t="s">
        <v>81</v>
      </c>
      <c r="D8" s="6" t="s">
        <v>81</v>
      </c>
      <c r="E8" s="4" t="s">
        <v>82</v>
      </c>
      <c r="F8" s="4" t="s">
        <v>83</v>
      </c>
      <c r="G8" s="4" t="s">
        <v>48</v>
      </c>
      <c r="H8" s="4" t="s">
        <v>50</v>
      </c>
      <c r="I8" s="4" t="s">
        <v>84</v>
      </c>
      <c r="J8" s="4" t="s">
        <v>64</v>
      </c>
      <c r="K8" s="7">
        <v>68</v>
      </c>
      <c r="L8" s="8">
        <v>70</v>
      </c>
      <c r="M8" s="9">
        <f>L8-K8</f>
        <v>2</v>
      </c>
      <c r="N8" s="9">
        <f>K8-67</f>
        <v>1</v>
      </c>
      <c r="O8" s="4">
        <v>24</v>
      </c>
      <c r="P8" s="4" t="s">
        <v>85</v>
      </c>
      <c r="Q8" s="4" t="s">
        <v>53</v>
      </c>
      <c r="R8" s="10">
        <v>1600000</v>
      </c>
      <c r="S8" s="10">
        <v>3700</v>
      </c>
      <c r="T8" s="4" t="s">
        <v>86</v>
      </c>
      <c r="U8" s="4">
        <v>2030</v>
      </c>
      <c r="V8" s="4" t="s">
        <v>87</v>
      </c>
      <c r="W8" s="4">
        <f>COUNTIFS('Desempenho por Jogo (Logs)'!$G$5:$G$206, A8)</f>
        <v>10</v>
      </c>
      <c r="X8" s="4">
        <f>COUNTIFS('Desempenho por Jogo (Logs)'!$G$5:$G$206, A8, 'Desempenho por Jogo (Logs)'!$J$5:$J$206, "&lt;&gt;RES")</f>
        <v>9</v>
      </c>
      <c r="Y8" s="4">
        <f>COUNTIFS('Desempenho por Jogo (Logs)'!$G$5:$G$206, A8, 'Desempenho por Jogo (Logs)'!$J$5:$J$206, "RES")</f>
        <v>1</v>
      </c>
      <c r="Z8" s="4">
        <f>SUMIFS('Desempenho por Jogo (Logs)'!$K$5:$K$206, 'Desempenho por Jogo (Logs)'!$G$5:$G$206, A8)</f>
        <v>705</v>
      </c>
      <c r="AA8" s="11">
        <f>IF(Z8&gt;0, Z8/540, 0)</f>
        <v>0.603</v>
      </c>
      <c r="AB8" s="12">
        <f>SUMIFS('Desempenho por Jogo (Logs)'!$L$5:$L$206, 'Desempenho por Jogo (Logs)'!$G$5:$G$206, A8)</f>
        <v>1</v>
      </c>
      <c r="AC8" s="4">
        <v>4</v>
      </c>
      <c r="AD8" s="12">
        <f>AB8+AC8</f>
        <v>5</v>
      </c>
      <c r="AE8" s="13">
        <f>IF(Z8&gt;0, ROUND((AD8/Z8)*90, 2), 0)</f>
        <v>0.64</v>
      </c>
      <c r="AF8" s="4">
        <f>SUMIFS('Desempenho por Jogo (Logs)'!$L$5:$L$206, 'Desempenho por Jogo (Logs)'!$G$5:$G$206, A8, 'Desempenho por Jogo (Logs)'!$C$5:$C$206, "*Liga*")</f>
        <v>0</v>
      </c>
      <c r="AG8" s="4">
        <v>3</v>
      </c>
      <c r="AH8" s="4">
        <f>SUMIFS('Desempenho por Jogo (Logs)'!$L$5:$L$206, 'Desempenho por Jogo (Logs)'!$G$5:$G$206, A8, 'Desempenho por Jogo (Logs)'!$C$5:$C$206, "*Trophy*")</f>
        <v>1</v>
      </c>
      <c r="AI8" s="4">
        <v>1</v>
      </c>
      <c r="AJ8" s="4">
        <v>1</v>
      </c>
      <c r="AK8" s="13">
        <f>IFERROR(ROUND(AVERAGEIFS('Desempenho por Jogo (Logs)'!$N$5:$N$206, 'Desempenho por Jogo (Logs)'!$G$5:$G$206, A8, 'Desempenho por Jogo (Logs)'!$N$5:$N$206, "&gt;0"), 2), "S/N")</f>
        <v>7.23</v>
      </c>
      <c r="AL8" s="4" t="s">
        <v>88</v>
      </c>
      <c r="AM8" s="4" t="str">
        <f>IF(W8=0, "Nula (0 jogos)", IF(OR(W8&lt;=2, Z8&lt;150), "Baixa — Amostra Insuficiente", IF(AND(W8&gt;=4, Z8&gt;=240), "Alta", "Moderada")))</f>
        <v>Alta (≥4J e ≥270m)</v>
      </c>
      <c r="AN8" s="5" t="str">
        <f>IF(W8=0, "Sem minutagem no save", IF(OR(W8&lt;=2, Z8&lt;150), "Amostra insuficiente (" &amp; W8 &amp; "J / " &amp; Z8 &amp; "m) — Continuar observando", IF(AK8&gt;=7.5, "Promover minutos / Titularidade em ascensão", IF(AK8&gt;=7.0, "Manter minutagem atual", "Avaliar opções / Rotação"))))</f>
        <v>Titular Regular na Temporada — Manter</v>
      </c>
      <c r="AO8" s="6" t="s">
        <v>89</v>
      </c>
      <c r="AP8" s="6" t="s">
        <v>90</v>
      </c>
    </row>
    <row r="9" spans="1:42" ht="21" customHeight="1">
      <c r="A9" s="4">
        <v>275520</v>
      </c>
      <c r="B9" s="4">
        <v>8</v>
      </c>
      <c r="C9" s="5" t="s">
        <v>91</v>
      </c>
      <c r="D9" s="6" t="s">
        <v>92</v>
      </c>
      <c r="E9" s="4" t="s">
        <v>82</v>
      </c>
      <c r="F9" s="4" t="s">
        <v>93</v>
      </c>
      <c r="G9" s="4" t="s">
        <v>94</v>
      </c>
      <c r="H9" s="4" t="s">
        <v>50</v>
      </c>
      <c r="I9" s="4" t="s">
        <v>95</v>
      </c>
      <c r="J9" s="4" t="s">
        <v>64</v>
      </c>
      <c r="K9" s="7">
        <v>67</v>
      </c>
      <c r="L9" s="8">
        <v>76</v>
      </c>
      <c r="M9" s="9">
        <f>L9-K9</f>
        <v>9</v>
      </c>
      <c r="N9" s="9">
        <f>K9-67</f>
        <v>0</v>
      </c>
      <c r="O9" s="4">
        <v>21</v>
      </c>
      <c r="P9" s="4" t="s">
        <v>96</v>
      </c>
      <c r="Q9" s="4" t="s">
        <v>53</v>
      </c>
      <c r="R9" s="10">
        <v>2700000</v>
      </c>
      <c r="S9" s="10">
        <v>10000</v>
      </c>
      <c r="T9" s="4" t="s">
        <v>97</v>
      </c>
      <c r="U9" s="4">
        <v>2029</v>
      </c>
      <c r="V9" s="4" t="s">
        <v>98</v>
      </c>
      <c r="W9" s="4">
        <f>COUNTIFS('Desempenho por Jogo (Logs)'!$G$5:$G$206, A9)</f>
        <v>8</v>
      </c>
      <c r="X9" s="4">
        <f>COUNTIFS('Desempenho por Jogo (Logs)'!$G$5:$G$206, A9, 'Desempenho por Jogo (Logs)'!$J$5:$J$206, "&lt;&gt;RES")</f>
        <v>7</v>
      </c>
      <c r="Y9" s="4">
        <f>COUNTIFS('Desempenho por Jogo (Logs)'!$G$5:$G$206, A9, 'Desempenho por Jogo (Logs)'!$J$5:$J$206, "RES")</f>
        <v>1</v>
      </c>
      <c r="Z9" s="4">
        <f>SUMIFS('Desempenho por Jogo (Logs)'!$K$5:$K$206, 'Desempenho por Jogo (Logs)'!$G$5:$G$206, A9)</f>
        <v>502</v>
      </c>
      <c r="AA9" s="11">
        <f>IF(Z9&gt;0, Z9/540, 0)</f>
        <v>0.429</v>
      </c>
      <c r="AB9" s="12">
        <f>SUMIFS('Desempenho por Jogo (Logs)'!$L$5:$L$206, 'Desempenho por Jogo (Logs)'!$G$5:$G$206, A9)</f>
        <v>2</v>
      </c>
      <c r="AC9" s="4">
        <v>1</v>
      </c>
      <c r="AD9" s="12">
        <f>AB9+AC9</f>
        <v>3</v>
      </c>
      <c r="AE9" s="13">
        <f>IF(Z9&gt;0, ROUND((AD9/Z9)*90, 2), 0)</f>
        <v>0.54</v>
      </c>
      <c r="AF9" s="4">
        <f>SUMIFS('Desempenho por Jogo (Logs)'!$L$5:$L$206, 'Desempenho por Jogo (Logs)'!$G$5:$G$206, A9, 'Desempenho por Jogo (Logs)'!$C$5:$C$206, "*Liga*")</f>
        <v>2</v>
      </c>
      <c r="AG9" s="4">
        <v>1</v>
      </c>
      <c r="AH9" s="4">
        <f>SUMIFS('Desempenho por Jogo (Logs)'!$L$5:$L$206, 'Desempenho por Jogo (Logs)'!$G$5:$G$206, A9, 'Desempenho por Jogo (Logs)'!$C$5:$C$206, "*Trophy*")</f>
        <v>0</v>
      </c>
      <c r="AI9" s="4">
        <v>0</v>
      </c>
      <c r="AJ9" s="4">
        <v>0</v>
      </c>
      <c r="AK9" s="13">
        <f>IFERROR(ROUND(AVERAGEIFS('Desempenho por Jogo (Logs)'!$N$5:$N$206, 'Desempenho por Jogo (Logs)'!$G$5:$G$206, A9, 'Desempenho por Jogo (Logs)'!$N$5:$N$206, "&gt;0"), 2), "S/N")</f>
        <v>6.89</v>
      </c>
      <c r="AL9" s="4" t="s">
        <v>99</v>
      </c>
      <c r="AM9" s="4" t="str">
        <f>IF(W9=0, "Nula (0 jogos)", IF(OR(W9&lt;=2, Z9&lt;150), "Baixa — Amostra Insuficiente", IF(AND(W9&gt;=4, Z9&gt;=240), "Alta", "Moderada")))</f>
        <v>Alta (≥4J e ≥270m)</v>
      </c>
      <c r="AN9" s="5" t="str">
        <f>IF(W9=0, "Sem minutagem no save", IF(OR(W9&lt;=2, Z9&lt;150), "Amostra insuficiente (" &amp; W9 &amp; "J / " &amp; Z9 &amp; "m) — Continuar observando", IF(AK9&gt;=7.5, "Promover minutos / Titularidade em ascensão", IF(AK9&gt;=7.0, "Manter minutagem atual", "Avaliar opções / Rotação"))))</f>
        <v>Titular Regular na Temporada — Manter</v>
      </c>
      <c r="AO9" s="6" t="s">
        <v>100</v>
      </c>
      <c r="AP9" s="6" t="s">
        <v>101</v>
      </c>
    </row>
    <row r="10" spans="1:42" ht="21" customHeight="1">
      <c r="A10" s="4">
        <v>247500</v>
      </c>
      <c r="B10" s="4">
        <v>12</v>
      </c>
      <c r="C10" s="5" t="s">
        <v>102</v>
      </c>
      <c r="D10" s="6" t="s">
        <v>103</v>
      </c>
      <c r="E10" s="4" t="s">
        <v>72</v>
      </c>
      <c r="F10" s="4" t="s">
        <v>104</v>
      </c>
      <c r="G10" s="4" t="s">
        <v>48</v>
      </c>
      <c r="H10" s="4" t="s">
        <v>74</v>
      </c>
      <c r="I10" s="4" t="s">
        <v>75</v>
      </c>
      <c r="J10" s="4" t="s">
        <v>51</v>
      </c>
      <c r="K10" s="7">
        <v>72</v>
      </c>
      <c r="L10" s="8">
        <v>72</v>
      </c>
      <c r="M10" s="9">
        <f>L10-K10</f>
        <v>0</v>
      </c>
      <c r="N10" s="9">
        <f>K10-71</f>
        <v>1</v>
      </c>
      <c r="O10" s="4">
        <v>28</v>
      </c>
      <c r="P10" s="4" t="s">
        <v>105</v>
      </c>
      <c r="Q10" s="4" t="s">
        <v>53</v>
      </c>
      <c r="R10" s="10">
        <v>2100000</v>
      </c>
      <c r="S10" s="10">
        <v>6900</v>
      </c>
      <c r="T10" s="4" t="s">
        <v>54</v>
      </c>
      <c r="U10" s="4">
        <v>2028</v>
      </c>
      <c r="V10" s="4" t="s">
        <v>55</v>
      </c>
      <c r="W10" s="4">
        <f>COUNTIFS('Desempenho por Jogo (Logs)'!$G$5:$G$206, A10)</f>
        <v>11</v>
      </c>
      <c r="X10" s="4">
        <f>COUNTIFS('Desempenho por Jogo (Logs)'!$G$5:$G$206, A10, 'Desempenho por Jogo (Logs)'!$J$5:$J$206, "&lt;&gt;RES")</f>
        <v>11</v>
      </c>
      <c r="Y10" s="4">
        <f>COUNTIFS('Desempenho por Jogo (Logs)'!$G$5:$G$206, A10, 'Desempenho por Jogo (Logs)'!$J$5:$J$206, "RES")</f>
        <v>0</v>
      </c>
      <c r="Z10" s="4">
        <f>SUMIFS('Desempenho por Jogo (Logs)'!$K$5:$K$206, 'Desempenho por Jogo (Logs)'!$G$5:$G$206, A10)</f>
        <v>930</v>
      </c>
      <c r="AA10" s="11">
        <f>IF(Z10&gt;0, Z10/540, 0)</f>
        <v>0.795</v>
      </c>
      <c r="AB10" s="4">
        <f>SUMIFS('Desempenho por Jogo (Logs)'!$L$5:$L$206, 'Desempenho por Jogo (Logs)'!$G$5:$G$206, A10)</f>
        <v>0</v>
      </c>
      <c r="AC10" s="4">
        <v>0</v>
      </c>
      <c r="AD10" s="4">
        <f>AB10+AC10</f>
        <v>0</v>
      </c>
      <c r="AE10" s="13">
        <f>IF(Z10&gt;0, ROUND((AD10/Z10)*90, 2), 0)</f>
        <v>0.0</v>
      </c>
      <c r="AF10" s="4">
        <f>SUMIFS('Desempenho por Jogo (Logs)'!$L$5:$L$206, 'Desempenho por Jogo (Logs)'!$G$5:$G$206, A10, 'Desempenho por Jogo (Logs)'!$C$5:$C$206, "*Liga*")</f>
        <v>0</v>
      </c>
      <c r="AG10" s="4">
        <v>0</v>
      </c>
      <c r="AH10" s="4">
        <f>SUMIFS('Desempenho por Jogo (Logs)'!$L$5:$L$206, 'Desempenho por Jogo (Logs)'!$G$5:$G$206, A10, 'Desempenho por Jogo (Logs)'!$C$5:$C$206, "*Trophy*")</f>
        <v>0</v>
      </c>
      <c r="AI10" s="4">
        <v>0</v>
      </c>
      <c r="AJ10" s="4">
        <v>0</v>
      </c>
      <c r="AK10" s="13">
        <f>IFERROR(ROUND(AVERAGEIFS('Desempenho por Jogo (Logs)'!$N$5:$N$206, 'Desempenho por Jogo (Logs)'!$G$5:$G$206, A10, 'Desempenho por Jogo (Logs)'!$N$5:$N$206, "&gt;0"), 2), "S/N")</f>
        <v>6.84</v>
      </c>
      <c r="AL10" s="4" t="s">
        <v>106</v>
      </c>
      <c r="AM10" s="4" t="str">
        <f>IF(W10=0, "Nula (0 jogos)", IF(OR(W10&lt;=2, Z10&lt;150), "Baixa — Amostra Insuficiente", IF(AND(W10&gt;=4, Z10&gt;=240), "Alta", "Moderada")))</f>
        <v>Alta (≥4J e ≥270m)</v>
      </c>
      <c r="AN10" s="5" t="str">
        <f>IF(W10=0, "Sem minutagem no save", IF(OR(W10&lt;=2, Z10&lt;150), "Amostra insuficiente (" &amp; W10 &amp; "J / " &amp; Z10 &amp; "m) — Continuar observando", IF(AK10&gt;=7.5, "Promover minutos / Titularidade em ascensão", IF(AK10&gt;=7.0, "Manter minutagem atual", "Avaliar opções / Rotação"))))</f>
        <v>Titular Regular na Temporada — Manter</v>
      </c>
      <c r="AO10" s="6" t="s">
        <v>107</v>
      </c>
      <c r="AP10" s="6" t="s">
        <v>108</v>
      </c>
    </row>
    <row r="11" spans="1:42" ht="21" customHeight="1">
      <c r="A11" s="4">
        <v>278758</v>
      </c>
      <c r="B11" s="4">
        <v>16</v>
      </c>
      <c r="C11" s="5" t="s">
        <v>109</v>
      </c>
      <c r="D11" s="6" t="s">
        <v>110</v>
      </c>
      <c r="E11" s="4" t="s">
        <v>111</v>
      </c>
      <c r="F11" s="4" t="s">
        <v>112</v>
      </c>
      <c r="G11" s="4" t="s">
        <v>48</v>
      </c>
      <c r="H11" s="4" t="s">
        <v>113</v>
      </c>
      <c r="I11" s="4" t="s">
        <v>114</v>
      </c>
      <c r="J11" s="4" t="s">
        <v>64</v>
      </c>
      <c r="K11" s="7">
        <v>69</v>
      </c>
      <c r="L11" s="8">
        <v>80</v>
      </c>
      <c r="M11" s="9">
        <f>L11-K11</f>
        <v>11</v>
      </c>
      <c r="N11" s="9">
        <f>K11-68</f>
        <v>1</v>
      </c>
      <c r="O11" s="4">
        <v>21</v>
      </c>
      <c r="P11" s="4" t="s">
        <v>115</v>
      </c>
      <c r="Q11" s="4" t="s">
        <v>53</v>
      </c>
      <c r="R11" s="10">
        <v>3500000</v>
      </c>
      <c r="S11" s="10">
        <v>3600</v>
      </c>
      <c r="T11" s="4" t="s">
        <v>116</v>
      </c>
      <c r="U11" s="4">
        <v>2027</v>
      </c>
      <c r="V11" s="4" t="s">
        <v>117</v>
      </c>
      <c r="W11" s="4">
        <f>COUNTIFS('Desempenho por Jogo (Logs)'!$G$5:$G$206, A11)</f>
        <v>12</v>
      </c>
      <c r="X11" s="4">
        <f>COUNTIFS('Desempenho por Jogo (Logs)'!$G$5:$G$206, A11, 'Desempenho por Jogo (Logs)'!$J$5:$J$206, "&lt;&gt;RES")</f>
        <v>7</v>
      </c>
      <c r="Y11" s="4">
        <f>COUNTIFS('Desempenho por Jogo (Logs)'!$G$5:$G$206, A11, 'Desempenho por Jogo (Logs)'!$J$5:$J$206, "RES")</f>
        <v>5</v>
      </c>
      <c r="Z11" s="4">
        <f>SUMIFS('Desempenho por Jogo (Logs)'!$K$5:$K$206, 'Desempenho por Jogo (Logs)'!$G$5:$G$206, A11)</f>
        <v>626</v>
      </c>
      <c r="AA11" s="11">
        <f>IF(Z11&gt;0, Z11/540, 0)</f>
        <v>0.535</v>
      </c>
      <c r="AB11" s="4">
        <f>SUMIFS('Desempenho por Jogo (Logs)'!$L$5:$L$206, 'Desempenho por Jogo (Logs)'!$G$5:$G$206, A11)</f>
        <v>0</v>
      </c>
      <c r="AC11" s="4">
        <v>4</v>
      </c>
      <c r="AD11" s="12">
        <f>AB11+AC11</f>
        <v>4</v>
      </c>
      <c r="AE11" s="13">
        <f>IF(Z11&gt;0, ROUND((AD11/Z11)*90, 2), 0)</f>
        <v>0.58</v>
      </c>
      <c r="AF11" s="4">
        <f>SUMIFS('Desempenho por Jogo (Logs)'!$L$5:$L$206, 'Desempenho por Jogo (Logs)'!$G$5:$G$206, A11, 'Desempenho por Jogo (Logs)'!$C$5:$C$206, "*Liga*")</f>
        <v>0</v>
      </c>
      <c r="AG11" s="4">
        <v>4</v>
      </c>
      <c r="AH11" s="4">
        <f>SUMIFS('Desempenho por Jogo (Logs)'!$L$5:$L$206, 'Desempenho por Jogo (Logs)'!$G$5:$G$206, A11, 'Desempenho por Jogo (Logs)'!$C$5:$C$206, "*Trophy*")</f>
        <v>0</v>
      </c>
      <c r="AI11" s="4">
        <v>0</v>
      </c>
      <c r="AJ11" s="4">
        <v>1</v>
      </c>
      <c r="AK11" s="13">
        <f>IFERROR(ROUND(AVERAGEIFS('Desempenho por Jogo (Logs)'!$N$5:$N$206, 'Desempenho por Jogo (Logs)'!$G$5:$G$206, A11, 'Desempenho por Jogo (Logs)'!$N$5:$N$206, "&gt;0"), 2), "S/N")</f>
        <v>7.28</v>
      </c>
      <c r="AL11" s="4" t="s">
        <v>118</v>
      </c>
      <c r="AM11" s="4" t="str">
        <f>IF(W11=0, "Nula (0 jogos)", IF(OR(W11&lt;=2, Z11&lt;150), "Baixa — Amostra Insuficiente", IF(AND(W11&gt;=4, Z11&gt;=240), "Alta", "Moderada")))</f>
        <v>Alta (≥4J e ≥270m)</v>
      </c>
      <c r="AN11" s="5" t="str">
        <f>IF(W11=0, "Sem minutagem no save", IF(OR(W11&lt;=2, Z11&lt;150), "Amostra insuficiente (" &amp; W11 &amp; "J / " &amp; Z11 &amp; "m) — Continuar observando", IF(AK11&gt;=7.5, "Promover minutos / Titularidade em ascensão", IF(AK11&gt;=7.0, "Manter minutagem atual", "Avaliar opções / Rotação"))))</f>
        <v>Jovem em Desenvolvimento Ativo — Manter Minutagem</v>
      </c>
      <c r="AO11" s="6" t="s">
        <v>119</v>
      </c>
      <c r="AP11" s="6" t="s">
        <v>120</v>
      </c>
    </row>
    <row r="12" spans="1:42" ht="21" customHeight="1">
      <c r="A12" s="4">
        <v>263006</v>
      </c>
      <c r="B12" s="4">
        <v>19</v>
      </c>
      <c r="C12" s="5" t="s">
        <v>121</v>
      </c>
      <c r="D12" s="6" t="s">
        <v>122</v>
      </c>
      <c r="E12" s="4" t="s">
        <v>123</v>
      </c>
      <c r="F12" s="4" t="s">
        <v>124</v>
      </c>
      <c r="G12" s="4" t="s">
        <v>48</v>
      </c>
      <c r="H12" s="4" t="s">
        <v>125</v>
      </c>
      <c r="I12" s="4" t="s">
        <v>113</v>
      </c>
      <c r="J12" s="4" t="s">
        <v>51</v>
      </c>
      <c r="K12" s="7">
        <v>71</v>
      </c>
      <c r="L12" s="8">
        <v>73</v>
      </c>
      <c r="M12" s="9">
        <f>L12-K12</f>
        <v>2</v>
      </c>
      <c r="N12" s="9">
        <f>K12-70</f>
        <v>1</v>
      </c>
      <c r="O12" s="4">
        <v>25</v>
      </c>
      <c r="P12" s="4" t="s">
        <v>126</v>
      </c>
      <c r="Q12" s="4" t="s">
        <v>53</v>
      </c>
      <c r="R12" s="10">
        <v>2300000</v>
      </c>
      <c r="S12" s="10">
        <v>5600</v>
      </c>
      <c r="T12" s="4" t="s">
        <v>54</v>
      </c>
      <c r="U12" s="4">
        <v>2029</v>
      </c>
      <c r="V12" s="4" t="s">
        <v>98</v>
      </c>
      <c r="W12" s="4">
        <f>COUNTIFS('Desempenho por Jogo (Logs)'!$G$5:$G$206, A12)</f>
        <v>11</v>
      </c>
      <c r="X12" s="4">
        <f>COUNTIFS('Desempenho por Jogo (Logs)'!$G$5:$G$206, A12, 'Desempenho por Jogo (Logs)'!$J$5:$J$206, "&lt;&gt;RES")</f>
        <v>10</v>
      </c>
      <c r="Y12" s="4">
        <f>COUNTIFS('Desempenho por Jogo (Logs)'!$G$5:$G$206, A12, 'Desempenho por Jogo (Logs)'!$J$5:$J$206, "RES")</f>
        <v>1</v>
      </c>
      <c r="Z12" s="4">
        <f>SUMIFS('Desempenho por Jogo (Logs)'!$K$5:$K$206, 'Desempenho por Jogo (Logs)'!$G$5:$G$206, A12)</f>
        <v>669</v>
      </c>
      <c r="AA12" s="11">
        <f>IF(Z12&gt;0, Z12/540, 0)</f>
        <v>0.5720000000000001</v>
      </c>
      <c r="AB12" s="12">
        <f>SUMIFS('Desempenho por Jogo (Logs)'!$L$5:$L$206, 'Desempenho por Jogo (Logs)'!$G$5:$G$206, A12)</f>
        <v>1</v>
      </c>
      <c r="AC12" s="4">
        <v>2</v>
      </c>
      <c r="AD12" s="12">
        <f>AB12+AC12</f>
        <v>3</v>
      </c>
      <c r="AE12" s="13">
        <f>IF(Z12&gt;0, ROUND((AD12/Z12)*90, 2), 0)</f>
        <v>0.4</v>
      </c>
      <c r="AF12" s="4">
        <f>SUMIFS('Desempenho por Jogo (Logs)'!$L$5:$L$206, 'Desempenho por Jogo (Logs)'!$G$5:$G$206, A12, 'Desempenho por Jogo (Logs)'!$C$5:$C$206, "*Liga*")</f>
        <v>0</v>
      </c>
      <c r="AG12" s="4">
        <v>2</v>
      </c>
      <c r="AH12" s="4">
        <f>SUMIFS('Desempenho por Jogo (Logs)'!$L$5:$L$206, 'Desempenho por Jogo (Logs)'!$G$5:$G$206, A12, 'Desempenho por Jogo (Logs)'!$C$5:$C$206, "*Trophy*")</f>
        <v>1</v>
      </c>
      <c r="AI12" s="4">
        <v>0</v>
      </c>
      <c r="AJ12" s="4">
        <v>0</v>
      </c>
      <c r="AK12" s="13">
        <f>IFERROR(ROUND(AVERAGEIFS('Desempenho por Jogo (Logs)'!$N$5:$N$206, 'Desempenho por Jogo (Logs)'!$G$5:$G$206, A12, 'Desempenho por Jogo (Logs)'!$N$5:$N$206, "&gt;0"), 2), "S/N")</f>
        <v>6.9</v>
      </c>
      <c r="AL12" s="4" t="s">
        <v>127</v>
      </c>
      <c r="AM12" s="4" t="str">
        <f>IF(W12=0, "Nula (0 jogos)", IF(OR(W12&lt;=2, Z12&lt;150), "Baixa — Amostra Insuficiente", IF(AND(W12&gt;=4, Z12&gt;=240), "Alta", "Moderada")))</f>
        <v>Alta (≥4J e ≥270m)</v>
      </c>
      <c r="AN12" s="5" t="str">
        <f>IF(W12=0, "Sem minutagem no save", IF(OR(W12&lt;=2, Z12&lt;150), "Amostra insuficiente (" &amp; W12 &amp; "J / " &amp; Z12 &amp; "m) — Continuar observando", IF(AK12&gt;=7.5, "Promover minutos / Titularidade em ascensão", IF(AK12&gt;=7.0, "Manter minutagem atual", "Avaliar opções / Rotação"))))</f>
        <v>Titular Regular na Temporada — Manter</v>
      </c>
      <c r="AO12" s="6" t="s">
        <v>128</v>
      </c>
      <c r="AP12" s="6" t="s">
        <v>129</v>
      </c>
    </row>
    <row r="13" spans="1:42" ht="21" customHeight="1">
      <c r="A13" s="4">
        <v>279881</v>
      </c>
      <c r="B13" s="4">
        <v>21</v>
      </c>
      <c r="C13" s="5" t="s">
        <v>130</v>
      </c>
      <c r="D13" s="6" t="s">
        <v>130</v>
      </c>
      <c r="E13" s="4" t="s">
        <v>82</v>
      </c>
      <c r="F13" s="4" t="s">
        <v>131</v>
      </c>
      <c r="G13" s="4" t="s">
        <v>48</v>
      </c>
      <c r="H13" s="4" t="s">
        <v>50</v>
      </c>
      <c r="I13" s="4" t="s">
        <v>84</v>
      </c>
      <c r="J13" s="4" t="s">
        <v>64</v>
      </c>
      <c r="K13" s="7">
        <v>65</v>
      </c>
      <c r="L13" s="8">
        <v>78</v>
      </c>
      <c r="M13" s="9">
        <f>L13-K13</f>
        <v>13</v>
      </c>
      <c r="N13" s="9">
        <f>K13-64</f>
        <v>1</v>
      </c>
      <c r="O13" s="4">
        <v>19</v>
      </c>
      <c r="P13" s="4" t="s">
        <v>132</v>
      </c>
      <c r="Q13" s="4" t="s">
        <v>133</v>
      </c>
      <c r="R13" s="10">
        <v>1600000</v>
      </c>
      <c r="S13" s="10">
        <v>1900</v>
      </c>
      <c r="T13" s="4" t="s">
        <v>134</v>
      </c>
      <c r="U13" s="4">
        <v>2029</v>
      </c>
      <c r="V13" s="4" t="s">
        <v>98</v>
      </c>
      <c r="W13" s="4">
        <f>COUNTIFS('Desempenho por Jogo (Logs)'!$G$5:$G$206, A13)</f>
        <v>9</v>
      </c>
      <c r="X13" s="4">
        <f>COUNTIFS('Desempenho por Jogo (Logs)'!$G$5:$G$206, A13, 'Desempenho por Jogo (Logs)'!$J$5:$J$206, "&lt;&gt;RES")</f>
        <v>9</v>
      </c>
      <c r="Y13" s="4">
        <f>COUNTIFS('Desempenho por Jogo (Logs)'!$G$5:$G$206, A13, 'Desempenho por Jogo (Logs)'!$J$5:$J$206, "RES")</f>
        <v>0</v>
      </c>
      <c r="Z13" s="4">
        <f>SUMIFS('Desempenho por Jogo (Logs)'!$K$5:$K$206, 'Desempenho por Jogo (Logs)'!$G$5:$G$206, A13)</f>
        <v>735</v>
      </c>
      <c r="AA13" s="11">
        <f>IF(Z13&gt;0, Z13/540, 0)</f>
        <v>0.628</v>
      </c>
      <c r="AB13" s="4">
        <f>SUMIFS('Desempenho por Jogo (Logs)'!$L$5:$L$206, 'Desempenho por Jogo (Logs)'!$G$5:$G$206, A13)</f>
        <v>0</v>
      </c>
      <c r="AC13" s="4">
        <v>3</v>
      </c>
      <c r="AD13" s="12">
        <f>AB13+AC13</f>
        <v>3</v>
      </c>
      <c r="AE13" s="13">
        <f>IF(Z13&gt;0, ROUND((AD13/Z13)*90, 2), 0)</f>
        <v>0.37</v>
      </c>
      <c r="AF13" s="4">
        <f>SUMIFS('Desempenho por Jogo (Logs)'!$L$5:$L$206, 'Desempenho por Jogo (Logs)'!$G$5:$G$206, A13, 'Desempenho por Jogo (Logs)'!$C$5:$C$206, "*Liga*")</f>
        <v>0</v>
      </c>
      <c r="AG13" s="4">
        <v>2</v>
      </c>
      <c r="AH13" s="4">
        <f>SUMIFS('Desempenho por Jogo (Logs)'!$L$5:$L$206, 'Desempenho por Jogo (Logs)'!$G$5:$G$206, A13, 'Desempenho por Jogo (Logs)'!$C$5:$C$206, "*Trophy*")</f>
        <v>0</v>
      </c>
      <c r="AI13" s="4">
        <v>1</v>
      </c>
      <c r="AJ13" s="4">
        <v>0</v>
      </c>
      <c r="AK13" s="13">
        <f>IFERROR(ROUND(AVERAGEIFS('Desempenho por Jogo (Logs)'!$N$5:$N$206, 'Desempenho por Jogo (Logs)'!$G$5:$G$206, A13, 'Desempenho por Jogo (Logs)'!$N$5:$N$206, "&gt;0"), 2), "S/N")</f>
        <v>7.82</v>
      </c>
      <c r="AL13" s="4" t="s">
        <v>88</v>
      </c>
      <c r="AM13" s="4" t="str">
        <f>IF(W13=0, "Nula (0 jogos)", IF(OR(W13&lt;=2, Z13&lt;150), "Baixa — Amostra Insuficiente", IF(AND(W13&gt;=4, Z13&gt;=240), "Alta", "Moderada")))</f>
        <v>Alta (≥4J e ≥270m)</v>
      </c>
      <c r="AN13" s="5" t="str">
        <f>IF(W13=0, "Sem minutagem no save", IF(OR(W13&lt;=2, Z13&lt;150), "Amostra insuficiente (" &amp; W13 &amp; "J / " &amp; Z13 &amp; "m) — Continuar observando", IF(AK13&gt;=7.5, "Promover minutos / Titularidade em ascensão", IF(AK13&gt;=7.0, "Manter minutagem atual", "Avaliar opções / Rotação"))))</f>
        <v>Jovem em Desenvolvimento Ativo — Manter Minutagem</v>
      </c>
      <c r="AO13" s="6" t="s">
        <v>135</v>
      </c>
      <c r="AP13" s="6" t="s">
        <v>136</v>
      </c>
    </row>
    <row r="14" spans="1:42" ht="21" customHeight="1">
      <c r="A14" s="4">
        <v>236393</v>
      </c>
      <c r="B14" s="4">
        <v>22</v>
      </c>
      <c r="C14" s="5" t="s">
        <v>137</v>
      </c>
      <c r="D14" s="6" t="s">
        <v>138</v>
      </c>
      <c r="E14" s="4" t="s">
        <v>139</v>
      </c>
      <c r="F14" s="4" t="s">
        <v>112</v>
      </c>
      <c r="G14" s="4" t="s">
        <v>48</v>
      </c>
      <c r="H14" s="4" t="s">
        <v>140</v>
      </c>
      <c r="I14" s="4" t="s">
        <v>62</v>
      </c>
      <c r="J14" s="4" t="s">
        <v>141</v>
      </c>
      <c r="K14" s="7">
        <v>67</v>
      </c>
      <c r="L14" s="8">
        <v>67</v>
      </c>
      <c r="M14" s="9">
        <f>L14-K14</f>
        <v>0</v>
      </c>
      <c r="N14" s="9">
        <f>K14-67</f>
        <v>0</v>
      </c>
      <c r="O14" s="4">
        <v>30</v>
      </c>
      <c r="P14" s="4" t="s">
        <v>142</v>
      </c>
      <c r="Q14" s="4" t="s">
        <v>53</v>
      </c>
      <c r="R14" s="10">
        <v>1200000</v>
      </c>
      <c r="S14" s="10">
        <v>4800</v>
      </c>
      <c r="T14" s="4" t="s">
        <v>54</v>
      </c>
      <c r="U14" s="4">
        <v>2028</v>
      </c>
      <c r="V14" s="4" t="s">
        <v>55</v>
      </c>
      <c r="W14" s="4">
        <f>COUNTIFS('Desempenho por Jogo (Logs)'!$G$5:$G$206, A14)</f>
        <v>9</v>
      </c>
      <c r="X14" s="4">
        <f>COUNTIFS('Desempenho por Jogo (Logs)'!$G$5:$G$206, A14, 'Desempenho por Jogo (Logs)'!$J$5:$J$206, "&lt;&gt;RES")</f>
        <v>7</v>
      </c>
      <c r="Y14" s="4">
        <f>COUNTIFS('Desempenho por Jogo (Logs)'!$G$5:$G$206, A14, 'Desempenho por Jogo (Logs)'!$J$5:$J$206, "RES")</f>
        <v>2</v>
      </c>
      <c r="Z14" s="4">
        <f>SUMIFS('Desempenho por Jogo (Logs)'!$K$5:$K$206, 'Desempenho por Jogo (Logs)'!$G$5:$G$206, A14)</f>
        <v>637</v>
      </c>
      <c r="AA14" s="11">
        <f>IF(Z14&gt;0, Z14/540, 0)</f>
        <v>0.544</v>
      </c>
      <c r="AB14" s="12">
        <f>SUMIFS('Desempenho por Jogo (Logs)'!$L$5:$L$206, 'Desempenho por Jogo (Logs)'!$G$5:$G$206, A14)</f>
        <v>15</v>
      </c>
      <c r="AC14" s="4">
        <v>1</v>
      </c>
      <c r="AD14" s="12">
        <f>AB14+AC14</f>
        <v>16</v>
      </c>
      <c r="AE14" s="13">
        <f>IF(Z14&gt;0, ROUND((AD14/Z14)*90, 2), 0)</f>
        <v>2.26</v>
      </c>
      <c r="AF14" s="4">
        <f>SUMIFS('Desempenho por Jogo (Logs)'!$L$5:$L$206, 'Desempenho por Jogo (Logs)'!$G$5:$G$206, A14, 'Desempenho por Jogo (Logs)'!$C$5:$C$206, "*Liga*")</f>
        <v>15</v>
      </c>
      <c r="AG14" s="4">
        <v>0</v>
      </c>
      <c r="AH14" s="4">
        <f>SUMIFS('Desempenho por Jogo (Logs)'!$L$5:$L$206, 'Desempenho por Jogo (Logs)'!$G$5:$G$206, A14, 'Desempenho por Jogo (Logs)'!$C$5:$C$206, "*Trophy*")</f>
        <v>0</v>
      </c>
      <c r="AI14" s="4">
        <v>1</v>
      </c>
      <c r="AJ14" s="4">
        <v>3</v>
      </c>
      <c r="AK14" s="13">
        <f>IFERROR(ROUND(AVERAGEIFS('Desempenho por Jogo (Logs)'!$N$5:$N$206, 'Desempenho por Jogo (Logs)'!$G$5:$G$206, A14, 'Desempenho por Jogo (Logs)'!$N$5:$N$206, "&gt;0"), 2), "S/N")</f>
        <v>8.27</v>
      </c>
      <c r="AL14" s="4" t="s">
        <v>143</v>
      </c>
      <c r="AM14" s="4" t="str">
        <f>IF(W14=0, "Nula (0 jogos)", IF(OR(W14&lt;=2, Z14&lt;150), "Baixa — Amostra Insuficiente", IF(AND(W14&gt;=4, Z14&gt;=240), "Alta", "Moderada")))</f>
        <v>Alta (≥4J e ≥270m)</v>
      </c>
      <c r="AN14" s="5" t="str">
        <f>IF(W14=0, "Sem minutagem no save", IF(OR(W14&lt;=2, Z14&lt;150), "Amostra insuficiente (" &amp; W14 &amp; "J / " &amp; Z14 &amp; "m) — Continuar observando", IF(AK14&gt;=7.5, "Promover minutos / Titularidade em ascensão", IF(AK14&gt;=7.0, "Manter minutagem atual", "Avaliar opções / Rotação"))))</f>
        <v>Titular Regular na Temporada — Manter</v>
      </c>
      <c r="AO14" s="6" t="s">
        <v>144</v>
      </c>
      <c r="AP14" s="6" t="s">
        <v>145</v>
      </c>
    </row>
    <row r="15" spans="1:42" ht="21" customHeight="1">
      <c r="A15" s="4">
        <v>276198</v>
      </c>
      <c r="B15" s="4">
        <v>25</v>
      </c>
      <c r="C15" s="5" t="s">
        <v>146</v>
      </c>
      <c r="D15" s="6" t="s">
        <v>146</v>
      </c>
      <c r="E15" s="4" t="s">
        <v>147</v>
      </c>
      <c r="F15" s="4" t="s">
        <v>148</v>
      </c>
      <c r="G15" s="4" t="s">
        <v>48</v>
      </c>
      <c r="H15" s="4" t="s">
        <v>149</v>
      </c>
      <c r="I15" s="4" t="s">
        <v>75</v>
      </c>
      <c r="J15" s="4" t="s">
        <v>150</v>
      </c>
      <c r="K15" s="7">
        <v>72</v>
      </c>
      <c r="L15" s="8">
        <v>82</v>
      </c>
      <c r="M15" s="9">
        <f>L15-K15</f>
        <v>10</v>
      </c>
      <c r="N15" s="9">
        <f>K15-70</f>
        <v>2</v>
      </c>
      <c r="O15" s="4">
        <v>19</v>
      </c>
      <c r="P15" s="4" t="s">
        <v>151</v>
      </c>
      <c r="Q15" s="4" t="s">
        <v>152</v>
      </c>
      <c r="R15" s="10">
        <v>3900000</v>
      </c>
      <c r="S15" s="10">
        <v>1900</v>
      </c>
      <c r="T15" s="4" t="s">
        <v>116</v>
      </c>
      <c r="U15" s="4">
        <v>2028</v>
      </c>
      <c r="V15" s="4" t="s">
        <v>117</v>
      </c>
      <c r="W15" s="4">
        <f>COUNTIFS('Desempenho por Jogo (Logs)'!$G$5:$G$206, A15)</f>
        <v>8</v>
      </c>
      <c r="X15" s="4">
        <f>COUNTIFS('Desempenho por Jogo (Logs)'!$G$5:$G$206, A15, 'Desempenho por Jogo (Logs)'!$J$5:$J$206, "&lt;&gt;RES")</f>
        <v>8</v>
      </c>
      <c r="Y15" s="4">
        <f>COUNTIFS('Desempenho por Jogo (Logs)'!$G$5:$G$206, A15, 'Desempenho por Jogo (Logs)'!$J$5:$J$206, "RES")</f>
        <v>0</v>
      </c>
      <c r="Z15" s="4">
        <f>SUMIFS('Desempenho por Jogo (Logs)'!$K$5:$K$206, 'Desempenho por Jogo (Logs)'!$G$5:$G$206, A15)</f>
        <v>720</v>
      </c>
      <c r="AA15" s="11">
        <f>IF(Z15&gt;0, Z15/540, 0)</f>
        <v>0.615</v>
      </c>
      <c r="AB15" s="4">
        <f>SUMIFS('Desempenho por Jogo (Logs)'!$L$5:$L$206, 'Desempenho por Jogo (Logs)'!$G$5:$G$206, A15)</f>
        <v>0</v>
      </c>
      <c r="AC15" s="4">
        <v>0</v>
      </c>
      <c r="AD15" s="4">
        <f>AB15+AC15</f>
        <v>0</v>
      </c>
      <c r="AE15" s="13">
        <f>IF(Z15&gt;0, ROUND((AD15/Z15)*90, 2), 0)</f>
        <v>0.0</v>
      </c>
      <c r="AF15" s="4">
        <f>SUMIFS('Desempenho por Jogo (Logs)'!$L$5:$L$206, 'Desempenho por Jogo (Logs)'!$G$5:$G$206, A15, 'Desempenho por Jogo (Logs)'!$C$5:$C$206, "*Liga*")</f>
        <v>0</v>
      </c>
      <c r="AG15" s="4">
        <v>0</v>
      </c>
      <c r="AH15" s="4">
        <f>SUMIFS('Desempenho por Jogo (Logs)'!$L$5:$L$206, 'Desempenho por Jogo (Logs)'!$G$5:$G$206, A15, 'Desempenho por Jogo (Logs)'!$C$5:$C$206, "*Trophy*")</f>
        <v>0</v>
      </c>
      <c r="AI15" s="4">
        <v>0</v>
      </c>
      <c r="AJ15" s="4">
        <v>1</v>
      </c>
      <c r="AK15" s="13">
        <f>IFERROR(ROUND(AVERAGEIFS('Desempenho por Jogo (Logs)'!$N$5:$N$206, 'Desempenho por Jogo (Logs)'!$G$5:$G$206, A15, 'Desempenho por Jogo (Logs)'!$N$5:$N$206, "&gt;0"), 2), "S/N")</f>
        <v>6.84</v>
      </c>
      <c r="AL15" s="4" t="s">
        <v>153</v>
      </c>
      <c r="AM15" s="4" t="str">
        <f>IF(W15=0, "Nula (0 jogos)", IF(OR(W15&lt;=2, Z15&lt;150), "Baixa — Amostra Insuficiente", IF(AND(W15&gt;=4, Z15&gt;=240), "Alta", "Moderada")))</f>
        <v>Alta (≥4J e ≥270m)</v>
      </c>
      <c r="AN15" s="5" t="str">
        <f>IF(W15=0, "Sem minutagem no save", IF(OR(W15&lt;=2, Z15&lt;150), "Amostra insuficiente (" &amp; W15 &amp; "J / " &amp; Z15 &amp; "m) — Continuar observando", IF(AK15&gt;=7.5, "Promover minutos / Titularidade em ascensão", IF(AK15&gt;=7.0, "Manter minutagem atual", "Avaliar opções / Rotação"))))</f>
        <v>Jovem em Desenvolvimento Ativo — Manter Minutagem</v>
      </c>
      <c r="AO15" s="6" t="s">
        <v>154</v>
      </c>
      <c r="AP15" s="6" t="s">
        <v>155</v>
      </c>
    </row>
    <row r="16" spans="1:42" ht="21" customHeight="1">
      <c r="A16" s="4">
        <v>79703</v>
      </c>
      <c r="B16" s="4">
        <v>4</v>
      </c>
      <c r="C16" s="5" t="s">
        <v>156</v>
      </c>
      <c r="D16" s="6" t="s">
        <v>157</v>
      </c>
      <c r="E16" s="4" t="s">
        <v>158</v>
      </c>
      <c r="F16" s="4" t="s">
        <v>159</v>
      </c>
      <c r="G16" s="4" t="s">
        <v>48</v>
      </c>
      <c r="H16" s="4" t="s">
        <v>74</v>
      </c>
      <c r="I16" s="4" t="s">
        <v>75</v>
      </c>
      <c r="J16" s="4" t="s">
        <v>51</v>
      </c>
      <c r="K16" s="7">
        <v>67</v>
      </c>
      <c r="L16" s="8">
        <v>74</v>
      </c>
      <c r="M16" s="9">
        <f>L16-K16</f>
        <v>7</v>
      </c>
      <c r="N16" s="9">
        <f>K16-66</f>
        <v>1</v>
      </c>
      <c r="O16" s="4">
        <v>23</v>
      </c>
      <c r="P16" s="4" t="s">
        <v>160</v>
      </c>
      <c r="Q16" s="4" t="s">
        <v>53</v>
      </c>
      <c r="R16" s="10">
        <v>2100000</v>
      </c>
      <c r="S16" s="10">
        <v>3000</v>
      </c>
      <c r="T16" s="4" t="s">
        <v>54</v>
      </c>
      <c r="U16" s="4">
        <v>2028</v>
      </c>
      <c r="V16" s="4" t="s">
        <v>55</v>
      </c>
      <c r="W16" s="4">
        <f>COUNTIFS('Desempenho por Jogo (Logs)'!$G$5:$G$206, A16)</f>
        <v>5</v>
      </c>
      <c r="X16" s="4">
        <f>COUNTIFS('Desempenho por Jogo (Logs)'!$G$5:$G$206, A16, 'Desempenho por Jogo (Logs)'!$J$5:$J$206, "&lt;&gt;RES")</f>
        <v>4</v>
      </c>
      <c r="Y16" s="4">
        <f>COUNTIFS('Desempenho por Jogo (Logs)'!$G$5:$G$206, A16, 'Desempenho por Jogo (Logs)'!$J$5:$J$206, "RES")</f>
        <v>1</v>
      </c>
      <c r="Z16" s="4">
        <f>SUMIFS('Desempenho por Jogo (Logs)'!$K$5:$K$206, 'Desempenho por Jogo (Logs)'!$G$5:$G$206, A16)</f>
        <v>286</v>
      </c>
      <c r="AA16" s="11">
        <f>IF(Z16&gt;0, Z16/540, 0)</f>
        <v>0.244</v>
      </c>
      <c r="AB16" s="4">
        <f>SUMIFS('Desempenho por Jogo (Logs)'!$L$5:$L$206, 'Desempenho por Jogo (Logs)'!$G$5:$G$206, A16)</f>
        <v>0</v>
      </c>
      <c r="AC16" s="4">
        <v>0</v>
      </c>
      <c r="AD16" s="4">
        <f>AB16+AC16</f>
        <v>0</v>
      </c>
      <c r="AE16" s="13">
        <f>IF(Z16&gt;0, ROUND((AD16/Z16)*90, 2), 0)</f>
        <v>0.0</v>
      </c>
      <c r="AF16" s="4">
        <f>SUMIFS('Desempenho por Jogo (Logs)'!$L$5:$L$206, 'Desempenho por Jogo (Logs)'!$G$5:$G$206, A16, 'Desempenho por Jogo (Logs)'!$C$5:$C$206, "*Liga*")</f>
        <v>0</v>
      </c>
      <c r="AG16" s="4">
        <v>0</v>
      </c>
      <c r="AH16" s="4">
        <f>SUMIFS('Desempenho por Jogo (Logs)'!$L$5:$L$206, 'Desempenho por Jogo (Logs)'!$G$5:$G$206, A16, 'Desempenho por Jogo (Logs)'!$C$5:$C$206, "*Trophy*")</f>
        <v>0</v>
      </c>
      <c r="AI16" s="4">
        <v>0</v>
      </c>
      <c r="AJ16" s="4">
        <v>0</v>
      </c>
      <c r="AK16" s="13">
        <f>IFERROR(ROUND(AVERAGEIFS('Desempenho por Jogo (Logs)'!$N$5:$N$206, 'Desempenho por Jogo (Logs)'!$G$5:$G$206, A16, 'Desempenho por Jogo (Logs)'!$N$5:$N$206, "&gt;0"), 2), "S/N")</f>
        <v>6.18</v>
      </c>
      <c r="AL16" s="4" t="s">
        <v>161</v>
      </c>
      <c r="AM16" s="4" t="str">
        <f>IF(W16=0, "Nula (0 jogos)", IF(OR(W16&lt;=2, Z16&lt;150), "Baixa — Amostra Insuficiente", IF(AND(W16&gt;=4, Z16&gt;=240), "Alta", "Moderada")))</f>
        <v>Alta (≥4J e ≥270m)</v>
      </c>
      <c r="AN16" s="5" t="str">
        <f>IF(W16=0, "Sem minutagem no save", IF(OR(W16&lt;=2, Z16&lt;150), "Amostra insuficiente (" &amp; W16 &amp; "J / " &amp; Z16 &amp; "m) — Continuar observando", IF(AK16&gt;=7.5, "Promover minutos / Titularidade em ascensão", IF(AK16&gt;=7.0, "Manter minutagem atual", "Avaliar opções / Rotação"))))</f>
        <v>Manter na Rotação do Elenco</v>
      </c>
      <c r="AO16" s="6" t="s">
        <v>162</v>
      </c>
      <c r="AP16" s="6" t="s">
        <v>163</v>
      </c>
    </row>
    <row r="17" spans="1:42" ht="21" customHeight="1">
      <c r="A17" s="4">
        <v>265405</v>
      </c>
      <c r="B17" s="4">
        <v>13</v>
      </c>
      <c r="C17" s="5" t="s">
        <v>164</v>
      </c>
      <c r="D17" s="6" t="s">
        <v>165</v>
      </c>
      <c r="E17" s="4" t="s">
        <v>158</v>
      </c>
      <c r="F17" s="4" t="s">
        <v>166</v>
      </c>
      <c r="G17" s="4" t="s">
        <v>48</v>
      </c>
      <c r="H17" s="4" t="s">
        <v>149</v>
      </c>
      <c r="I17" s="4" t="s">
        <v>75</v>
      </c>
      <c r="J17" s="4" t="s">
        <v>150</v>
      </c>
      <c r="K17" s="7">
        <v>68</v>
      </c>
      <c r="L17" s="8">
        <v>73</v>
      </c>
      <c r="M17" s="9">
        <f>L17-K17</f>
        <v>5</v>
      </c>
      <c r="N17" s="9">
        <f>K17-67</f>
        <v>1</v>
      </c>
      <c r="O17" s="4">
        <v>24</v>
      </c>
      <c r="P17" s="4" t="s">
        <v>167</v>
      </c>
      <c r="Q17" s="4" t="s">
        <v>168</v>
      </c>
      <c r="R17" s="10">
        <v>1500000</v>
      </c>
      <c r="S17" s="10">
        <v>2000</v>
      </c>
      <c r="T17" s="4" t="s">
        <v>54</v>
      </c>
      <c r="U17" s="4">
        <v>2029</v>
      </c>
      <c r="V17" s="4" t="s">
        <v>98</v>
      </c>
      <c r="W17" s="4">
        <f>COUNTIFS('Desempenho por Jogo (Logs)'!$G$5:$G$206, A17)</f>
        <v>5</v>
      </c>
      <c r="X17" s="4">
        <f>COUNTIFS('Desempenho por Jogo (Logs)'!$G$5:$G$206, A17, 'Desempenho por Jogo (Logs)'!$J$5:$J$206, "&lt;&gt;RES")</f>
        <v>5</v>
      </c>
      <c r="Y17" s="4">
        <f>COUNTIFS('Desempenho por Jogo (Logs)'!$G$5:$G$206, A17, 'Desempenho por Jogo (Logs)'!$J$5:$J$206, "RES")</f>
        <v>0</v>
      </c>
      <c r="Z17" s="4">
        <f>SUMIFS('Desempenho por Jogo (Logs)'!$K$5:$K$206, 'Desempenho por Jogo (Logs)'!$G$5:$G$206, A17)</f>
        <v>450</v>
      </c>
      <c r="AA17" s="11">
        <f>IF(Z17&gt;0, Z17/540, 0)</f>
        <v>0.385</v>
      </c>
      <c r="AB17" s="4">
        <f>SUMIFS('Desempenho por Jogo (Logs)'!$L$5:$L$206, 'Desempenho por Jogo (Logs)'!$G$5:$G$206, A17)</f>
        <v>0</v>
      </c>
      <c r="AC17" s="4">
        <v>0</v>
      </c>
      <c r="AD17" s="4">
        <f>AB17+AC17</f>
        <v>0</v>
      </c>
      <c r="AE17" s="13">
        <f>IF(Z17&gt;0, ROUND((AD17/Z17)*90, 2), 0)</f>
        <v>0.0</v>
      </c>
      <c r="AF17" s="4">
        <f>SUMIFS('Desempenho por Jogo (Logs)'!$L$5:$L$206, 'Desempenho por Jogo (Logs)'!$G$5:$G$206, A17, 'Desempenho por Jogo (Logs)'!$C$5:$C$206, "*Liga*")</f>
        <v>0</v>
      </c>
      <c r="AG17" s="4">
        <v>0</v>
      </c>
      <c r="AH17" s="4">
        <f>SUMIFS('Desempenho por Jogo (Logs)'!$L$5:$L$206, 'Desempenho por Jogo (Logs)'!$G$5:$G$206, A17, 'Desempenho por Jogo (Logs)'!$C$5:$C$206, "*Trophy*")</f>
        <v>0</v>
      </c>
      <c r="AI17" s="4">
        <v>0</v>
      </c>
      <c r="AJ17" s="4">
        <v>0</v>
      </c>
      <c r="AK17" s="13">
        <f>IFERROR(ROUND(AVERAGEIFS('Desempenho por Jogo (Logs)'!$N$5:$N$206, 'Desempenho por Jogo (Logs)'!$G$5:$G$206, A17, 'Desempenho por Jogo (Logs)'!$N$5:$N$206, "&gt;0"), 2), "S/N")</f>
        <v>6.6</v>
      </c>
      <c r="AL17" s="4" t="s">
        <v>153</v>
      </c>
      <c r="AM17" s="4" t="str">
        <f>IF(W17=0, "Nula (0 jogos)", IF(OR(W17&lt;=2, Z17&lt;150), "Baixa — Amostra Insuficiente", IF(AND(W17&gt;=4, Z17&gt;=240), "Alta", "Moderada")))</f>
        <v>Alta (≥4J e ≥270m)</v>
      </c>
      <c r="AN17" s="5" t="str">
        <f>IF(W17=0, "Sem minutagem no save", IF(OR(W17&lt;=2, Z17&lt;150), "Amostra insuficiente (" &amp; W17 &amp; "J / " &amp; Z17 &amp; "m) — Continuar observando", IF(AK17&gt;=7.5, "Promover minutos / Titularidade em ascensão", IF(AK17&gt;=7.0, "Manter minutagem atual", "Avaliar opções / Rotação"))))</f>
        <v>Manter na Rotação do Elenco</v>
      </c>
      <c r="AO17" s="6" t="s">
        <v>169</v>
      </c>
      <c r="AP17" s="6" t="s">
        <v>170</v>
      </c>
    </row>
    <row r="18" spans="1:42" ht="21" customHeight="1">
      <c r="A18" s="4">
        <v>230134</v>
      </c>
      <c r="B18" s="4">
        <v>14</v>
      </c>
      <c r="C18" s="5" t="s">
        <v>171</v>
      </c>
      <c r="D18" s="6" t="s">
        <v>172</v>
      </c>
      <c r="E18" s="4" t="s">
        <v>158</v>
      </c>
      <c r="F18" s="4" t="s">
        <v>173</v>
      </c>
      <c r="G18" s="4" t="s">
        <v>48</v>
      </c>
      <c r="H18" s="4" t="s">
        <v>50</v>
      </c>
      <c r="I18" s="4" t="s">
        <v>174</v>
      </c>
      <c r="J18" s="4" t="s">
        <v>64</v>
      </c>
      <c r="K18" s="7">
        <v>66</v>
      </c>
      <c r="L18" s="8">
        <v>66</v>
      </c>
      <c r="M18" s="9">
        <f>L18-K18</f>
        <v>0</v>
      </c>
      <c r="N18" s="9">
        <f>K18-66</f>
        <v>0</v>
      </c>
      <c r="O18" s="4">
        <v>29</v>
      </c>
      <c r="P18" s="4" t="s">
        <v>175</v>
      </c>
      <c r="Q18" s="4" t="s">
        <v>53</v>
      </c>
      <c r="R18" s="10">
        <v>975000</v>
      </c>
      <c r="S18" s="10">
        <v>3800</v>
      </c>
      <c r="T18" s="4" t="s">
        <v>54</v>
      </c>
      <c r="U18" s="4">
        <v>2028</v>
      </c>
      <c r="V18" s="4" t="s">
        <v>55</v>
      </c>
      <c r="W18" s="4">
        <f>COUNTIFS('Desempenho por Jogo (Logs)'!$G$5:$G$206, A18)</f>
        <v>10</v>
      </c>
      <c r="X18" s="4">
        <f>COUNTIFS('Desempenho por Jogo (Logs)'!$G$5:$G$206, A18, 'Desempenho por Jogo (Logs)'!$J$5:$J$206, "&lt;&gt;RES")</f>
        <v>6</v>
      </c>
      <c r="Y18" s="4">
        <f>COUNTIFS('Desempenho por Jogo (Logs)'!$G$5:$G$206, A18, 'Desempenho por Jogo (Logs)'!$J$5:$J$206, "RES")</f>
        <v>4</v>
      </c>
      <c r="Z18" s="4">
        <f>SUMIFS('Desempenho por Jogo (Logs)'!$K$5:$K$206, 'Desempenho por Jogo (Logs)'!$G$5:$G$206, A18)</f>
        <v>514</v>
      </c>
      <c r="AA18" s="11">
        <f>IF(Z18&gt;0, Z18/540, 0)</f>
        <v>0.439</v>
      </c>
      <c r="AB18" s="12">
        <f>SUMIFS('Desempenho por Jogo (Logs)'!$L$5:$L$206, 'Desempenho por Jogo (Logs)'!$G$5:$G$206, A18)</f>
        <v>3</v>
      </c>
      <c r="AC18" s="4">
        <v>0</v>
      </c>
      <c r="AD18" s="12">
        <f>AB18+AC18</f>
        <v>3</v>
      </c>
      <c r="AE18" s="13">
        <f>IF(Z18&gt;0, ROUND((AD18/Z18)*90, 2), 0)</f>
        <v>0.53</v>
      </c>
      <c r="AF18" s="4">
        <f>SUMIFS('Desempenho por Jogo (Logs)'!$L$5:$L$206, 'Desempenho por Jogo (Logs)'!$G$5:$G$206, A18, 'Desempenho por Jogo (Logs)'!$C$5:$C$206, "*Liga*")</f>
        <v>3</v>
      </c>
      <c r="AG18" s="4">
        <v>0</v>
      </c>
      <c r="AH18" s="4">
        <f>SUMIFS('Desempenho por Jogo (Logs)'!$L$5:$L$206, 'Desempenho por Jogo (Logs)'!$G$5:$G$206, A18, 'Desempenho por Jogo (Logs)'!$C$5:$C$206, "*Trophy*")</f>
        <v>0</v>
      </c>
      <c r="AI18" s="4">
        <v>0</v>
      </c>
      <c r="AJ18" s="4">
        <v>0</v>
      </c>
      <c r="AK18" s="13">
        <f>IFERROR(ROUND(AVERAGEIFS('Desempenho por Jogo (Logs)'!$N$5:$N$206, 'Desempenho por Jogo (Logs)'!$G$5:$G$206, A18, 'Desempenho por Jogo (Logs)'!$N$5:$N$206, "&gt;0"), 2), "S/N")</f>
        <v>7.16</v>
      </c>
      <c r="AL18" s="4" t="s">
        <v>99</v>
      </c>
      <c r="AM18" s="4" t="str">
        <f>IF(W18=0, "Nula (0 jogos)", IF(OR(W18&lt;=2, Z18&lt;150), "Baixa — Amostra Insuficiente", IF(AND(W18&gt;=4, Z18&gt;=240), "Alta", "Moderada")))</f>
        <v>Alta (≥4J e ≥270m)</v>
      </c>
      <c r="AN18" s="5" t="str">
        <f>IF(W18=0, "Sem minutagem no save", IF(OR(W18&lt;=2, Z18&lt;150), "Amostra insuficiente (" &amp; W18 &amp; "J / " &amp; Z18 &amp; "m) — Continuar observando", IF(AK18&gt;=7.5, "Promover minutos / Titularidade em ascensão", IF(AK18&gt;=7.0, "Manter minutagem atual", "Avaliar opções / Rotação"))))</f>
        <v>Manter na Rotação do Elenco</v>
      </c>
      <c r="AO18" s="6" t="s">
        <v>176</v>
      </c>
      <c r="AP18" s="6" t="s">
        <v>177</v>
      </c>
    </row>
    <row r="19" spans="1:42" ht="21" customHeight="1">
      <c r="A19" s="4">
        <v>279603</v>
      </c>
      <c r="B19" s="4">
        <v>15</v>
      </c>
      <c r="C19" s="5" t="s">
        <v>178</v>
      </c>
      <c r="D19" s="6" t="s">
        <v>179</v>
      </c>
      <c r="E19" s="4" t="s">
        <v>158</v>
      </c>
      <c r="F19" s="4" t="s">
        <v>61</v>
      </c>
      <c r="G19" s="4" t="s">
        <v>48</v>
      </c>
      <c r="H19" s="4" t="s">
        <v>63</v>
      </c>
      <c r="I19" s="4" t="s">
        <v>62</v>
      </c>
      <c r="J19" s="4" t="s">
        <v>141</v>
      </c>
      <c r="K19" s="7">
        <v>69</v>
      </c>
      <c r="L19" s="8">
        <v>81</v>
      </c>
      <c r="M19" s="9">
        <f>L19-K19</f>
        <v>12</v>
      </c>
      <c r="N19" s="9">
        <f>K19-67</f>
        <v>2</v>
      </c>
      <c r="O19" s="4">
        <v>19</v>
      </c>
      <c r="P19" s="4" t="s">
        <v>180</v>
      </c>
      <c r="Q19" s="4" t="s">
        <v>53</v>
      </c>
      <c r="R19" s="10">
        <v>2900000</v>
      </c>
      <c r="S19" s="10">
        <v>3300</v>
      </c>
      <c r="T19" s="4" t="s">
        <v>116</v>
      </c>
      <c r="U19" s="4">
        <v>2029</v>
      </c>
      <c r="V19" s="4" t="s">
        <v>117</v>
      </c>
      <c r="W19" s="4">
        <f>COUNTIFS('Desempenho por Jogo (Logs)'!$G$5:$G$206, A19)</f>
        <v>9</v>
      </c>
      <c r="X19" s="4">
        <f>COUNTIFS('Desempenho por Jogo (Logs)'!$G$5:$G$206, A19, 'Desempenho por Jogo (Logs)'!$J$5:$J$206, "&lt;&gt;RES")</f>
        <v>6</v>
      </c>
      <c r="Y19" s="4">
        <f>COUNTIFS('Desempenho por Jogo (Logs)'!$G$5:$G$206, A19, 'Desempenho por Jogo (Logs)'!$J$5:$J$206, "RES")</f>
        <v>3</v>
      </c>
      <c r="Z19" s="4">
        <f>SUMIFS('Desempenho por Jogo (Logs)'!$K$5:$K$206, 'Desempenho por Jogo (Logs)'!$G$5:$G$206, A19)</f>
        <v>467</v>
      </c>
      <c r="AA19" s="11">
        <f>IF(Z19&gt;0, Z19/540, 0)</f>
        <v>0.39899999999999997</v>
      </c>
      <c r="AB19" s="12">
        <f>SUMIFS('Desempenho por Jogo (Logs)'!$L$5:$L$206, 'Desempenho por Jogo (Logs)'!$G$5:$G$206, A19)</f>
        <v>1</v>
      </c>
      <c r="AC19" s="4">
        <v>3</v>
      </c>
      <c r="AD19" s="12">
        <f>AB19+AC19</f>
        <v>4</v>
      </c>
      <c r="AE19" s="13">
        <f>IF(Z19&gt;0, ROUND((AD19/Z19)*90, 2), 0)</f>
        <v>0.77</v>
      </c>
      <c r="AF19" s="4">
        <f>SUMIFS('Desempenho por Jogo (Logs)'!$L$5:$L$206, 'Desempenho por Jogo (Logs)'!$G$5:$G$206, A19, 'Desempenho por Jogo (Logs)'!$C$5:$C$206, "*Liga*")</f>
        <v>1</v>
      </c>
      <c r="AG19" s="4">
        <v>2</v>
      </c>
      <c r="AH19" s="4">
        <f>SUMIFS('Desempenho por Jogo (Logs)'!$L$5:$L$206, 'Desempenho por Jogo (Logs)'!$G$5:$G$206, A19, 'Desempenho por Jogo (Logs)'!$C$5:$C$206, "*Trophy*")</f>
        <v>0</v>
      </c>
      <c r="AI19" s="4">
        <v>1</v>
      </c>
      <c r="AJ19" s="4">
        <v>1</v>
      </c>
      <c r="AK19" s="13">
        <f>IFERROR(ROUND(AVERAGEIFS('Desempenho por Jogo (Logs)'!$N$5:$N$206, 'Desempenho por Jogo (Logs)'!$G$5:$G$206, A19, 'Desempenho por Jogo (Logs)'!$N$5:$N$206, "&gt;0"), 2), "S/N")</f>
        <v>6.69</v>
      </c>
      <c r="AL19" s="4" t="s">
        <v>181</v>
      </c>
      <c r="AM19" s="4" t="str">
        <f>IF(W19=0, "Nula (0 jogos)", IF(OR(W19&lt;=2, Z19&lt;150), "Baixa — Amostra Insuficiente", IF(AND(W19&gt;=4, Z19&gt;=240), "Alta", "Moderada")))</f>
        <v>Alta (≥4J e ≥270m)</v>
      </c>
      <c r="AN19" s="5" t="str">
        <f>IF(W19=0, "Sem minutagem no save", IF(OR(W19&lt;=2, Z19&lt;150), "Amostra insuficiente (" &amp; W19 &amp; "J / " &amp; Z19 &amp; "m) — Continuar observando", IF(AK19&gt;=7.5, "Promover minutos / Titularidade em ascensão", IF(AK19&gt;=7.0, "Manter minutagem atual", "Avaliar opções / Rotação"))))</f>
        <v>Jovem em Desenvolvimento Ativo — Manter Minutagem</v>
      </c>
      <c r="AO19" s="6" t="s">
        <v>182</v>
      </c>
      <c r="AP19" s="6" t="s">
        <v>183</v>
      </c>
    </row>
    <row r="20" spans="1:42" ht="21" customHeight="1">
      <c r="A20" s="4">
        <v>241505</v>
      </c>
      <c r="B20" s="4">
        <v>17</v>
      </c>
      <c r="C20" s="5" t="s">
        <v>184</v>
      </c>
      <c r="D20" s="6" t="s">
        <v>184</v>
      </c>
      <c r="E20" s="4" t="s">
        <v>158</v>
      </c>
      <c r="F20" s="4" t="s">
        <v>185</v>
      </c>
      <c r="G20" s="4" t="s">
        <v>48</v>
      </c>
      <c r="H20" s="4" t="s">
        <v>49</v>
      </c>
      <c r="I20" s="4" t="s">
        <v>62</v>
      </c>
      <c r="J20" s="4" t="s">
        <v>51</v>
      </c>
      <c r="K20" s="7">
        <v>67</v>
      </c>
      <c r="L20" s="8">
        <v>67</v>
      </c>
      <c r="M20" s="9">
        <f>L20-K20</f>
        <v>0</v>
      </c>
      <c r="N20" s="9">
        <f>K20-66</f>
        <v>1</v>
      </c>
      <c r="O20" s="4">
        <v>26</v>
      </c>
      <c r="P20" s="4" t="s">
        <v>186</v>
      </c>
      <c r="Q20" s="4" t="s">
        <v>187</v>
      </c>
      <c r="R20" s="10">
        <v>1100000</v>
      </c>
      <c r="S20" s="10">
        <v>3500</v>
      </c>
      <c r="T20" s="4" t="s">
        <v>188</v>
      </c>
      <c r="U20" s="4">
        <v>2027</v>
      </c>
      <c r="V20" s="4" t="s">
        <v>66</v>
      </c>
      <c r="W20" s="4">
        <f>COUNTIFS('Desempenho por Jogo (Logs)'!$G$5:$G$206, A20)</f>
        <v>10</v>
      </c>
      <c r="X20" s="4">
        <f>COUNTIFS('Desempenho por Jogo (Logs)'!$G$5:$G$206, A20, 'Desempenho por Jogo (Logs)'!$J$5:$J$206, "&lt;&gt;RES")</f>
        <v>8</v>
      </c>
      <c r="Y20" s="4">
        <f>COUNTIFS('Desempenho por Jogo (Logs)'!$G$5:$G$206, A20, 'Desempenho por Jogo (Logs)'!$J$5:$J$206, "RES")</f>
        <v>2</v>
      </c>
      <c r="Z20" s="4">
        <f>SUMIFS('Desempenho por Jogo (Logs)'!$K$5:$K$206, 'Desempenho por Jogo (Logs)'!$G$5:$G$206, A20)</f>
        <v>581</v>
      </c>
      <c r="AA20" s="11">
        <f>IF(Z20&gt;0, Z20/540, 0)</f>
        <v>0.49700000000000005</v>
      </c>
      <c r="AB20" s="4">
        <f>SUMIFS('Desempenho por Jogo (Logs)'!$L$5:$L$206, 'Desempenho por Jogo (Logs)'!$G$5:$G$206, A20)</f>
        <v>0</v>
      </c>
      <c r="AC20" s="4">
        <v>2</v>
      </c>
      <c r="AD20" s="12">
        <f>AB20+AC20</f>
        <v>2</v>
      </c>
      <c r="AE20" s="13">
        <f>IF(Z20&gt;0, ROUND((AD20/Z20)*90, 2), 0)</f>
        <v>0.31</v>
      </c>
      <c r="AF20" s="4">
        <f>SUMIFS('Desempenho por Jogo (Logs)'!$L$5:$L$206, 'Desempenho por Jogo (Logs)'!$G$5:$G$206, A20, 'Desempenho por Jogo (Logs)'!$C$5:$C$206, "*Liga*")</f>
        <v>0</v>
      </c>
      <c r="AG20" s="4">
        <v>2</v>
      </c>
      <c r="AH20" s="4">
        <f>SUMIFS('Desempenho por Jogo (Logs)'!$L$5:$L$206, 'Desempenho por Jogo (Logs)'!$G$5:$G$206, A20, 'Desempenho por Jogo (Logs)'!$C$5:$C$206, "*Trophy*")</f>
        <v>0</v>
      </c>
      <c r="AI20" s="4">
        <v>0</v>
      </c>
      <c r="AJ20" s="4">
        <v>0</v>
      </c>
      <c r="AK20" s="13">
        <f>IFERROR(ROUND(AVERAGEIFS('Desempenho por Jogo (Logs)'!$N$5:$N$206, 'Desempenho por Jogo (Logs)'!$G$5:$G$206, A20, 'Desempenho por Jogo (Logs)'!$N$5:$N$206, "&gt;0"), 2), "S/N")</f>
        <v>6.72</v>
      </c>
      <c r="AL20" s="4" t="s">
        <v>189</v>
      </c>
      <c r="AM20" s="4" t="str">
        <f>IF(W20=0, "Nula (0 jogos)", IF(OR(W20&lt;=2, Z20&lt;150), "Baixa — Amostra Insuficiente", IF(AND(W20&gt;=4, Z20&gt;=240), "Alta", "Moderada")))</f>
        <v>Alta (≥4J e ≥270m)</v>
      </c>
      <c r="AN20" s="5" t="str">
        <f>IF(W20=0, "Sem minutagem no save", IF(OR(W20&lt;=2, Z20&lt;150), "Amostra insuficiente (" &amp; W20 &amp; "J / " &amp; Z20 &amp; "m) — Continuar observando", IF(AK20&gt;=7.5, "Promover minutos / Titularidade em ascensão", IF(AK20&gt;=7.0, "Manter minutagem atual", "Avaliar opções / Rotação"))))</f>
        <v>Manter na Rotação do Elenco</v>
      </c>
      <c r="AO20" s="6" t="s">
        <v>190</v>
      </c>
      <c r="AP20" s="6" t="s">
        <v>191</v>
      </c>
    </row>
    <row r="21" spans="1:42" ht="21" customHeight="1">
      <c r="A21" s="4">
        <v>245704</v>
      </c>
      <c r="B21" s="4">
        <v>20</v>
      </c>
      <c r="C21" s="5" t="s">
        <v>192</v>
      </c>
      <c r="D21" s="6" t="s">
        <v>193</v>
      </c>
      <c r="E21" s="4" t="s">
        <v>158</v>
      </c>
      <c r="F21" s="4" t="s">
        <v>194</v>
      </c>
      <c r="G21" s="4" t="s">
        <v>48</v>
      </c>
      <c r="H21" s="4" t="s">
        <v>125</v>
      </c>
      <c r="I21" s="4" t="s">
        <v>195</v>
      </c>
      <c r="J21" s="4" t="s">
        <v>51</v>
      </c>
      <c r="K21" s="7">
        <v>67</v>
      </c>
      <c r="L21" s="8">
        <v>67</v>
      </c>
      <c r="M21" s="9">
        <f>L21-K21</f>
        <v>0</v>
      </c>
      <c r="N21" s="9">
        <f>K21-66</f>
        <v>1</v>
      </c>
      <c r="O21" s="4">
        <v>26</v>
      </c>
      <c r="P21" s="4" t="s">
        <v>196</v>
      </c>
      <c r="Q21" s="4" t="s">
        <v>53</v>
      </c>
      <c r="R21" s="10">
        <v>1100000</v>
      </c>
      <c r="S21" s="10">
        <v>3500</v>
      </c>
      <c r="T21" s="4" t="s">
        <v>54</v>
      </c>
      <c r="U21" s="4">
        <v>2028</v>
      </c>
      <c r="V21" s="4" t="s">
        <v>55</v>
      </c>
      <c r="W21" s="4">
        <f>COUNTIFS('Desempenho por Jogo (Logs)'!$G$5:$G$206, A21)</f>
        <v>11</v>
      </c>
      <c r="X21" s="4">
        <f>COUNTIFS('Desempenho por Jogo (Logs)'!$G$5:$G$206, A21, 'Desempenho por Jogo (Logs)'!$J$5:$J$206, "&lt;&gt;RES")</f>
        <v>7</v>
      </c>
      <c r="Y21" s="4">
        <f>COUNTIFS('Desempenho por Jogo (Logs)'!$G$5:$G$206, A21, 'Desempenho por Jogo (Logs)'!$J$5:$J$206, "RES")</f>
        <v>4</v>
      </c>
      <c r="Z21" s="4">
        <f>SUMIFS('Desempenho por Jogo (Logs)'!$K$5:$K$206, 'Desempenho por Jogo (Logs)'!$G$5:$G$206, A21)</f>
        <v>555</v>
      </c>
      <c r="AA21" s="11">
        <f>IF(Z21&gt;0, Z21/540, 0)</f>
        <v>0.474</v>
      </c>
      <c r="AB21" s="4">
        <f>SUMIFS('Desempenho por Jogo (Logs)'!$L$5:$L$206, 'Desempenho por Jogo (Logs)'!$G$5:$G$206, A21)</f>
        <v>0</v>
      </c>
      <c r="AC21" s="4">
        <v>0</v>
      </c>
      <c r="AD21" s="4">
        <f>AB21+AC21</f>
        <v>0</v>
      </c>
      <c r="AE21" s="13">
        <f>IF(Z21&gt;0, ROUND((AD21/Z21)*90, 2), 0)</f>
        <v>0.0</v>
      </c>
      <c r="AF21" s="4">
        <f>SUMIFS('Desempenho por Jogo (Logs)'!$L$5:$L$206, 'Desempenho por Jogo (Logs)'!$G$5:$G$206, A21, 'Desempenho por Jogo (Logs)'!$C$5:$C$206, "*Liga*")</f>
        <v>0</v>
      </c>
      <c r="AG21" s="4">
        <v>0</v>
      </c>
      <c r="AH21" s="4">
        <f>SUMIFS('Desempenho por Jogo (Logs)'!$L$5:$L$206, 'Desempenho por Jogo (Logs)'!$G$5:$G$206, A21, 'Desempenho por Jogo (Logs)'!$C$5:$C$206, "*Trophy*")</f>
        <v>0</v>
      </c>
      <c r="AI21" s="4">
        <v>0</v>
      </c>
      <c r="AJ21" s="4">
        <v>0</v>
      </c>
      <c r="AK21" s="13">
        <f>IFERROR(ROUND(AVERAGEIFS('Desempenho por Jogo (Logs)'!$N$5:$N$206, 'Desempenho por Jogo (Logs)'!$G$5:$G$206, A21, 'Desempenho por Jogo (Logs)'!$N$5:$N$206, "&gt;0"), 2), "S/N")</f>
        <v>6.39</v>
      </c>
      <c r="AL21" s="4" t="s">
        <v>197</v>
      </c>
      <c r="AM21" s="4" t="str">
        <f>IF(W21=0, "Nula (0 jogos)", IF(OR(W21&lt;=2, Z21&lt;150), "Baixa — Amostra Insuficiente", IF(AND(W21&gt;=4, Z21&gt;=240), "Alta", "Moderada")))</f>
        <v>Alta (≥4J e ≥270m)</v>
      </c>
      <c r="AN21" s="5" t="str">
        <f>IF(W21=0, "Sem minutagem no save", IF(OR(W21&lt;=2, Z21&lt;150), "Amostra insuficiente (" &amp; W21 &amp; "J / " &amp; Z21 &amp; "m) — Continuar observando", IF(AK21&gt;=7.5, "Promover minutos / Titularidade em ascensão", IF(AK21&gt;=7.0, "Manter minutagem atual", "Avaliar opções / Rotação"))))</f>
        <v>Manter na Rotação do Elenco</v>
      </c>
      <c r="AO21" s="6" t="s">
        <v>198</v>
      </c>
      <c r="AP21" s="6" t="s">
        <v>199</v>
      </c>
    </row>
    <row r="22" spans="1:42" ht="21" customHeight="1">
      <c r="A22" s="4">
        <v>75437</v>
      </c>
      <c r="B22" s="4">
        <v>29</v>
      </c>
      <c r="C22" s="5" t="s">
        <v>200</v>
      </c>
      <c r="D22" s="6" t="s">
        <v>201</v>
      </c>
      <c r="E22" s="4" t="s">
        <v>158</v>
      </c>
      <c r="F22" s="4" t="s">
        <v>61</v>
      </c>
      <c r="G22" s="4" t="s">
        <v>48</v>
      </c>
      <c r="H22" s="4" t="s">
        <v>114</v>
      </c>
      <c r="I22" s="4" t="s">
        <v>113</v>
      </c>
      <c r="J22" s="4" t="s">
        <v>141</v>
      </c>
      <c r="K22" s="7">
        <v>71</v>
      </c>
      <c r="L22" s="8">
        <v>82</v>
      </c>
      <c r="M22" s="9">
        <f>L22-K22</f>
        <v>11</v>
      </c>
      <c r="N22" s="9">
        <f>K22-70</f>
        <v>1</v>
      </c>
      <c r="O22" s="4">
        <v>19</v>
      </c>
      <c r="P22" s="4" t="s">
        <v>202</v>
      </c>
      <c r="Q22" s="4" t="s">
        <v>203</v>
      </c>
      <c r="R22" s="10">
        <v>4500000</v>
      </c>
      <c r="S22" s="10">
        <v>4700</v>
      </c>
      <c r="T22" s="4" t="s">
        <v>116</v>
      </c>
      <c r="U22" s="4">
        <v>2027</v>
      </c>
      <c r="V22" s="4" t="s">
        <v>117</v>
      </c>
      <c r="W22" s="4">
        <f>COUNTIFS('Desempenho por Jogo (Logs)'!$G$5:$G$206, A22)</f>
        <v>10</v>
      </c>
      <c r="X22" s="4">
        <f>COUNTIFS('Desempenho por Jogo (Logs)'!$G$5:$G$206, A22, 'Desempenho por Jogo (Logs)'!$J$5:$J$206, "&lt;&gt;RES")</f>
        <v>7</v>
      </c>
      <c r="Y22" s="4">
        <f>COUNTIFS('Desempenho por Jogo (Logs)'!$G$5:$G$206, A22, 'Desempenho por Jogo (Logs)'!$J$5:$J$206, "RES")</f>
        <v>3</v>
      </c>
      <c r="Z22" s="4">
        <f>SUMIFS('Desempenho por Jogo (Logs)'!$K$5:$K$206, 'Desempenho por Jogo (Logs)'!$G$5:$G$206, A22)</f>
        <v>462</v>
      </c>
      <c r="AA22" s="11">
        <f>IF(Z22&gt;0, Z22/540, 0)</f>
        <v>0.395</v>
      </c>
      <c r="AB22" s="12">
        <f>SUMIFS('Desempenho por Jogo (Logs)'!$L$5:$L$206, 'Desempenho por Jogo (Logs)'!$G$5:$G$206, A22)</f>
        <v>1</v>
      </c>
      <c r="AC22" s="4">
        <v>1</v>
      </c>
      <c r="AD22" s="12">
        <f>AB22+AC22</f>
        <v>2</v>
      </c>
      <c r="AE22" s="13">
        <f>IF(Z22&gt;0, ROUND((AD22/Z22)*90, 2), 0)</f>
        <v>0.39</v>
      </c>
      <c r="AF22" s="4">
        <f>SUMIFS('Desempenho por Jogo (Logs)'!$L$5:$L$206, 'Desempenho por Jogo (Logs)'!$G$5:$G$206, A22, 'Desempenho por Jogo (Logs)'!$C$5:$C$206, "*Liga*")</f>
        <v>1</v>
      </c>
      <c r="AG22" s="4">
        <v>1</v>
      </c>
      <c r="AH22" s="4">
        <f>SUMIFS('Desempenho por Jogo (Logs)'!$L$5:$L$206, 'Desempenho por Jogo (Logs)'!$G$5:$G$206, A22, 'Desempenho por Jogo (Logs)'!$C$5:$C$206, "*Trophy*")</f>
        <v>0</v>
      </c>
      <c r="AI22" s="4">
        <v>0</v>
      </c>
      <c r="AJ22" s="4">
        <v>0</v>
      </c>
      <c r="AK22" s="13">
        <f>IFERROR(ROUND(AVERAGEIFS('Desempenho por Jogo (Logs)'!$N$5:$N$206, 'Desempenho por Jogo (Logs)'!$G$5:$G$206, A22, 'Desempenho por Jogo (Logs)'!$N$5:$N$206, "&gt;0"), 2), "S/N")</f>
        <v>6.68</v>
      </c>
      <c r="AL22" s="4" t="s">
        <v>204</v>
      </c>
      <c r="AM22" s="4" t="str">
        <f>IF(W22=0, "Nula (0 jogos)", IF(OR(W22&lt;=2, Z22&lt;150), "Baixa — Amostra Insuficiente", IF(AND(W22&gt;=4, Z22&gt;=240), "Alta", "Moderada")))</f>
        <v>Alta (≥4J e ≥270m)</v>
      </c>
      <c r="AN22" s="5" t="str">
        <f>IF(W22=0, "Sem minutagem no save", IF(OR(W22&lt;=2, Z22&lt;150), "Amostra insuficiente (" &amp; W22 &amp; "J / " &amp; Z22 &amp; "m) — Continuar observando", IF(AK22&gt;=7.5, "Promover minutos / Titularidade em ascensão", IF(AK22&gt;=7.0, "Manter minutagem atual", "Avaliar opções / Rotação"))))</f>
        <v>Jovem em Desenvolvimento Ativo — Manter Minutagem</v>
      </c>
      <c r="AO22" s="6" t="s">
        <v>205</v>
      </c>
      <c r="AP22" s="6" t="s">
        <v>206</v>
      </c>
    </row>
    <row r="23" spans="1:42" ht="21" customHeight="1">
      <c r="A23" s="4">
        <v>274828</v>
      </c>
      <c r="B23" s="4">
        <v>7</v>
      </c>
      <c r="C23" s="5" t="s">
        <v>207</v>
      </c>
      <c r="D23" s="6" t="s">
        <v>208</v>
      </c>
      <c r="E23" s="4" t="s">
        <v>209</v>
      </c>
      <c r="F23" s="4" t="s">
        <v>159</v>
      </c>
      <c r="G23" s="4" t="s">
        <v>48</v>
      </c>
      <c r="H23" s="4" t="s">
        <v>63</v>
      </c>
      <c r="I23" s="4" t="s">
        <v>62</v>
      </c>
      <c r="J23" s="4" t="s">
        <v>141</v>
      </c>
      <c r="K23" s="7">
        <v>67</v>
      </c>
      <c r="L23" s="8">
        <v>72</v>
      </c>
      <c r="M23" s="9">
        <f>L23-K23</f>
        <v>5</v>
      </c>
      <c r="N23" s="9">
        <f>K23-66</f>
        <v>1</v>
      </c>
      <c r="O23" s="4">
        <v>21</v>
      </c>
      <c r="P23" s="4" t="s">
        <v>210</v>
      </c>
      <c r="Q23" s="4" t="s">
        <v>53</v>
      </c>
      <c r="R23" s="10">
        <v>1600000</v>
      </c>
      <c r="S23" s="10">
        <v>2900</v>
      </c>
      <c r="T23" s="4" t="s">
        <v>211</v>
      </c>
      <c r="U23" s="4">
        <v>2028</v>
      </c>
      <c r="V23" s="4" t="s">
        <v>55</v>
      </c>
      <c r="W23" s="4">
        <f>COUNTIFS('Desempenho por Jogo (Logs)'!$G$5:$G$206, A23)</f>
        <v>5</v>
      </c>
      <c r="X23" s="4">
        <f>COUNTIFS('Desempenho por Jogo (Logs)'!$G$5:$G$206, A23, 'Desempenho por Jogo (Logs)'!$J$5:$J$206, "&lt;&gt;RES")</f>
        <v>4</v>
      </c>
      <c r="Y23" s="4">
        <f>COUNTIFS('Desempenho por Jogo (Logs)'!$G$5:$G$206, A23, 'Desempenho por Jogo (Logs)'!$J$5:$J$206, "RES")</f>
        <v>1</v>
      </c>
      <c r="Z23" s="4">
        <f>SUMIFS('Desempenho por Jogo (Logs)'!$K$5:$K$206, 'Desempenho por Jogo (Logs)'!$G$5:$G$206, A23)</f>
        <v>285</v>
      </c>
      <c r="AA23" s="11">
        <f>IF(Z23&gt;0, Z23/540, 0)</f>
        <v>0.244</v>
      </c>
      <c r="AB23" s="4">
        <f>SUMIFS('Desempenho por Jogo (Logs)'!$L$5:$L$206, 'Desempenho por Jogo (Logs)'!$G$5:$G$206, A23)</f>
        <v>0</v>
      </c>
      <c r="AC23" s="4">
        <v>1</v>
      </c>
      <c r="AD23" s="12">
        <f>AB23+AC23</f>
        <v>1</v>
      </c>
      <c r="AE23" s="13">
        <f>IF(Z23&gt;0, ROUND((AD23/Z23)*90, 2), 0)</f>
        <v>0.32</v>
      </c>
      <c r="AF23" s="4">
        <f>SUMIFS('Desempenho por Jogo (Logs)'!$L$5:$L$206, 'Desempenho por Jogo (Logs)'!$G$5:$G$206, A23, 'Desempenho por Jogo (Logs)'!$C$5:$C$206, "*Liga*")</f>
        <v>0</v>
      </c>
      <c r="AG23" s="4">
        <v>1</v>
      </c>
      <c r="AH23" s="4">
        <f>SUMIFS('Desempenho por Jogo (Logs)'!$L$5:$L$206, 'Desempenho por Jogo (Logs)'!$G$5:$G$206, A23, 'Desempenho por Jogo (Logs)'!$C$5:$C$206, "*Trophy*")</f>
        <v>0</v>
      </c>
      <c r="AI23" s="4">
        <v>0</v>
      </c>
      <c r="AJ23" s="4">
        <v>0</v>
      </c>
      <c r="AK23" s="13">
        <f>IFERROR(ROUND(AVERAGEIFS('Desempenho por Jogo (Logs)'!$N$5:$N$206, 'Desempenho por Jogo (Logs)'!$G$5:$G$206, A23, 'Desempenho por Jogo (Logs)'!$N$5:$N$206, "&gt;0"), 2), "S/N")</f>
        <v>6.66</v>
      </c>
      <c r="AL23" s="4" t="s">
        <v>212</v>
      </c>
      <c r="AM23" s="4" t="str">
        <f>IF(W23=0, "Nula (0 jogos)", IF(OR(W23&lt;=2, Z23&lt;150), "Baixa — Amostra Insuficiente", IF(AND(W23&gt;=4, Z23&gt;=240), "Alta", "Moderada")))</f>
        <v>Alta (≥4J e ≥270m)</v>
      </c>
      <c r="AN23" s="5" t="str">
        <f>IF(W23=0, "Sem minutagem no save", IF(OR(W23&lt;=2, Z23&lt;150), "Amostra insuficiente (" &amp; W23 &amp; "J / " &amp; Z23 &amp; "m) — Continuar observando", IF(AK23&gt;=7.5, "Promover minutos / Titularidade em ascensão", IF(AK23&gt;=7.0, "Manter minutagem atual", "Avaliar opções / Rotação"))))</f>
        <v>Manter na Rotação do Elenco</v>
      </c>
      <c r="AO23" s="6" t="s">
        <v>213</v>
      </c>
      <c r="AP23" s="6" t="s">
        <v>214</v>
      </c>
    </row>
    <row r="24" spans="1:42" ht="21" customHeight="1">
      <c r="A24" s="4">
        <v>277311</v>
      </c>
      <c r="B24" s="4">
        <v>10</v>
      </c>
      <c r="C24" s="5" t="s">
        <v>215</v>
      </c>
      <c r="D24" s="6" t="s">
        <v>215</v>
      </c>
      <c r="E24" s="4" t="s">
        <v>209</v>
      </c>
      <c r="F24" s="4" t="s">
        <v>216</v>
      </c>
      <c r="G24" s="4" t="s">
        <v>48</v>
      </c>
      <c r="H24" s="4" t="s">
        <v>50</v>
      </c>
      <c r="I24" s="4" t="s">
        <v>95</v>
      </c>
      <c r="J24" s="4" t="s">
        <v>64</v>
      </c>
      <c r="K24" s="7">
        <v>63</v>
      </c>
      <c r="L24" s="8">
        <v>68</v>
      </c>
      <c r="M24" s="9">
        <f>L24-K24</f>
        <v>5</v>
      </c>
      <c r="N24" s="9">
        <f>K24-63</f>
        <v>0</v>
      </c>
      <c r="O24" s="4">
        <v>24</v>
      </c>
      <c r="P24" s="4" t="s">
        <v>217</v>
      </c>
      <c r="Q24" s="4" t="s">
        <v>53</v>
      </c>
      <c r="R24" s="10">
        <v>850000</v>
      </c>
      <c r="S24" s="10">
        <v>2200</v>
      </c>
      <c r="T24" s="4" t="s">
        <v>54</v>
      </c>
      <c r="U24" s="4">
        <v>2030</v>
      </c>
      <c r="V24" s="4" t="s">
        <v>87</v>
      </c>
      <c r="W24" s="4">
        <f>COUNTIFS('Desempenho por Jogo (Logs)'!$G$5:$G$206, A24)</f>
        <v>5</v>
      </c>
      <c r="X24" s="4">
        <f>COUNTIFS('Desempenho por Jogo (Logs)'!$G$5:$G$206, A24, 'Desempenho por Jogo (Logs)'!$J$5:$J$206, "&lt;&gt;RES")</f>
        <v>4</v>
      </c>
      <c r="Y24" s="4">
        <f>COUNTIFS('Desempenho por Jogo (Logs)'!$G$5:$G$206, A24, 'Desempenho por Jogo (Logs)'!$J$5:$J$206, "RES")</f>
        <v>1</v>
      </c>
      <c r="Z24" s="4">
        <f>SUMIFS('Desempenho por Jogo (Logs)'!$K$5:$K$206, 'Desempenho por Jogo (Logs)'!$G$5:$G$206, A24)</f>
        <v>343</v>
      </c>
      <c r="AA24" s="11">
        <f>IF(Z24&gt;0, Z24/540, 0)</f>
        <v>0.293</v>
      </c>
      <c r="AB24" s="4">
        <f>SUMIFS('Desempenho por Jogo (Logs)'!$L$5:$L$206, 'Desempenho por Jogo (Logs)'!$G$5:$G$206, A24)</f>
        <v>0</v>
      </c>
      <c r="AC24" s="4">
        <v>0</v>
      </c>
      <c r="AD24" s="4">
        <f>AB24+AC24</f>
        <v>0</v>
      </c>
      <c r="AE24" s="13">
        <f>IF(Z24&gt;0, ROUND((AD24/Z24)*90, 2), 0)</f>
        <v>0.0</v>
      </c>
      <c r="AF24" s="4">
        <f>SUMIFS('Desempenho por Jogo (Logs)'!$L$5:$L$206, 'Desempenho por Jogo (Logs)'!$G$5:$G$206, A24, 'Desempenho por Jogo (Logs)'!$C$5:$C$206, "*Liga*")</f>
        <v>0</v>
      </c>
      <c r="AG24" s="4">
        <v>0</v>
      </c>
      <c r="AH24" s="4">
        <f>SUMIFS('Desempenho por Jogo (Logs)'!$L$5:$L$206, 'Desempenho por Jogo (Logs)'!$G$5:$G$206, A24, 'Desempenho por Jogo (Logs)'!$C$5:$C$206, "*Trophy*")</f>
        <v>0</v>
      </c>
      <c r="AI24" s="4">
        <v>0</v>
      </c>
      <c r="AJ24" s="4">
        <v>0</v>
      </c>
      <c r="AK24" s="13">
        <f>IFERROR(ROUND(AVERAGEIFS('Desempenho por Jogo (Logs)'!$N$5:$N$206, 'Desempenho por Jogo (Logs)'!$G$5:$G$206, A24, 'Desempenho por Jogo (Logs)'!$N$5:$N$206, "&gt;0"), 2), "S/N")</f>
        <v>6.7</v>
      </c>
      <c r="AL24" s="4" t="s">
        <v>218</v>
      </c>
      <c r="AM24" s="4" t="str">
        <f>IF(W24=0, "Nula (0 jogos)", IF(OR(W24&lt;=2, Z24&lt;150), "Baixa — Amostra Insuficiente", IF(AND(W24&gt;=4, Z24&gt;=240), "Alta", "Moderada")))</f>
        <v>Alta (≥4J e ≥270m)</v>
      </c>
      <c r="AN24" s="5" t="str">
        <f>IF(W24=0, "Sem minutagem no save", IF(OR(W24&lt;=2, Z24&lt;150), "Amostra insuficiente (" &amp; W24 &amp; "J / " &amp; Z24 &amp; "m) — Continuar observando", IF(AK24&gt;=7.5, "Promover minutos / Titularidade em ascensão", IF(AK24&gt;=7.0, "Manter minutagem atual", "Avaliar opções / Rotação"))))</f>
        <v>Manter na Rotação do Elenco</v>
      </c>
      <c r="AO24" s="6" t="s">
        <v>219</v>
      </c>
      <c r="AP24" s="6" t="s">
        <v>220</v>
      </c>
    </row>
    <row r="25" spans="1:42" ht="21" customHeight="1">
      <c r="A25" s="4">
        <v>260044</v>
      </c>
      <c r="B25" s="4">
        <v>11</v>
      </c>
      <c r="C25" s="5" t="s">
        <v>221</v>
      </c>
      <c r="D25" s="6" t="s">
        <v>222</v>
      </c>
      <c r="E25" s="4" t="s">
        <v>209</v>
      </c>
      <c r="F25" s="4" t="s">
        <v>223</v>
      </c>
      <c r="G25" s="4" t="s">
        <v>94</v>
      </c>
      <c r="H25" s="4" t="s">
        <v>140</v>
      </c>
      <c r="I25" s="4" t="s">
        <v>75</v>
      </c>
      <c r="J25" s="4" t="s">
        <v>141</v>
      </c>
      <c r="K25" s="7">
        <v>68</v>
      </c>
      <c r="L25" s="8">
        <v>72</v>
      </c>
      <c r="M25" s="9">
        <f>L25-K25</f>
        <v>4</v>
      </c>
      <c r="N25" s="9">
        <f>K25-67</f>
        <v>1</v>
      </c>
      <c r="O25" s="4">
        <v>24</v>
      </c>
      <c r="P25" s="4" t="s">
        <v>224</v>
      </c>
      <c r="Q25" s="4" t="s">
        <v>225</v>
      </c>
      <c r="R25" s="10">
        <v>1800000</v>
      </c>
      <c r="S25" s="10">
        <v>5000</v>
      </c>
      <c r="T25" s="4" t="s">
        <v>226</v>
      </c>
      <c r="U25" s="4">
        <v>2028</v>
      </c>
      <c r="V25" s="4" t="s">
        <v>55</v>
      </c>
      <c r="W25" s="4">
        <f>COUNTIFS('Desempenho por Jogo (Logs)'!$G$5:$G$206, A25)</f>
        <v>7</v>
      </c>
      <c r="X25" s="4">
        <f>COUNTIFS('Desempenho por Jogo (Logs)'!$G$5:$G$206, A25, 'Desempenho por Jogo (Logs)'!$J$5:$J$206, "&lt;&gt;RES")</f>
        <v>7</v>
      </c>
      <c r="Y25" s="4">
        <f>COUNTIFS('Desempenho por Jogo (Logs)'!$G$5:$G$206, A25, 'Desempenho por Jogo (Logs)'!$J$5:$J$206, "RES")</f>
        <v>0</v>
      </c>
      <c r="Z25" s="4">
        <f>SUMIFS('Desempenho por Jogo (Logs)'!$K$5:$K$206, 'Desempenho por Jogo (Logs)'!$G$5:$G$206, A25)</f>
        <v>534</v>
      </c>
      <c r="AA25" s="11">
        <f>IF(Z25&gt;0, Z25/540, 0)</f>
        <v>0.456</v>
      </c>
      <c r="AB25" s="12">
        <f>SUMIFS('Desempenho por Jogo (Logs)'!$L$5:$L$206, 'Desempenho por Jogo (Logs)'!$G$5:$G$206, A25)</f>
        <v>5</v>
      </c>
      <c r="AC25" s="4">
        <v>0</v>
      </c>
      <c r="AD25" s="12">
        <f>AB25+AC25</f>
        <v>5</v>
      </c>
      <c r="AE25" s="13">
        <f>IF(Z25&gt;0, ROUND((AD25/Z25)*90, 2), 0)</f>
        <v>0.84</v>
      </c>
      <c r="AF25" s="4">
        <f>SUMIFS('Desempenho por Jogo (Logs)'!$L$5:$L$206, 'Desempenho por Jogo (Logs)'!$G$5:$G$206, A25, 'Desempenho por Jogo (Logs)'!$C$5:$C$206, "*Liga*")</f>
        <v>2</v>
      </c>
      <c r="AG25" s="4">
        <v>0</v>
      </c>
      <c r="AH25" s="4">
        <f>SUMIFS('Desempenho por Jogo (Logs)'!$L$5:$L$206, 'Desempenho por Jogo (Logs)'!$G$5:$G$206, A25, 'Desempenho por Jogo (Logs)'!$C$5:$C$206, "*Trophy*")</f>
        <v>3</v>
      </c>
      <c r="AI25" s="4">
        <v>0</v>
      </c>
      <c r="AJ25" s="4">
        <v>2</v>
      </c>
      <c r="AK25" s="13">
        <f>IFERROR(ROUND(AVERAGEIFS('Desempenho por Jogo (Logs)'!$N$5:$N$206, 'Desempenho por Jogo (Logs)'!$G$5:$G$206, A25, 'Desempenho por Jogo (Logs)'!$N$5:$N$206, "&gt;0"), 2), "S/N")</f>
        <v>7.11</v>
      </c>
      <c r="AL25" s="4" t="s">
        <v>218</v>
      </c>
      <c r="AM25" s="4" t="str">
        <f>IF(W25=0, "Nula (0 jogos)", IF(OR(W25&lt;=2, Z25&lt;150), "Baixa — Amostra Insuficiente", IF(AND(W25&gt;=4, Z25&gt;=240), "Alta", "Moderada")))</f>
        <v>Alta (≥4J e ≥270m)</v>
      </c>
      <c r="AN25" s="5" t="str">
        <f>IF(W25=0, "Sem minutagem no save", IF(OR(W25&lt;=2, Z25&lt;150), "Amostra insuficiente (" &amp; W25 &amp; "J / " &amp; Z25 &amp; "m) — Continuar observando", IF(AK25&gt;=7.5, "Promover minutos / Titularidade em ascensão", IF(AK25&gt;=7.0, "Manter minutagem atual", "Avaliar opções / Rotação"))))</f>
        <v>Manter na Rotação do Elenco</v>
      </c>
      <c r="AO25" s="6" t="s">
        <v>227</v>
      </c>
      <c r="AP25" s="6" t="s">
        <v>228</v>
      </c>
    </row>
    <row r="26" spans="1:42" ht="21" customHeight="1">
      <c r="A26" s="4">
        <v>79752</v>
      </c>
      <c r="B26" s="4">
        <v>18</v>
      </c>
      <c r="C26" s="5" t="s">
        <v>229</v>
      </c>
      <c r="D26" s="6" t="s">
        <v>229</v>
      </c>
      <c r="E26" s="4" t="s">
        <v>209</v>
      </c>
      <c r="F26" s="4" t="s">
        <v>230</v>
      </c>
      <c r="G26" s="4" t="s">
        <v>48</v>
      </c>
      <c r="H26" s="4" t="s">
        <v>50</v>
      </c>
      <c r="I26" s="4" t="s">
        <v>84</v>
      </c>
      <c r="J26" s="4" t="s">
        <v>64</v>
      </c>
      <c r="K26" s="7">
        <v>65</v>
      </c>
      <c r="L26" s="8">
        <v>71</v>
      </c>
      <c r="M26" s="9">
        <f>L26-K26</f>
        <v>6</v>
      </c>
      <c r="N26" s="9">
        <f>K26-64</f>
        <v>1</v>
      </c>
      <c r="O26" s="4">
        <v>22</v>
      </c>
      <c r="P26" s="4" t="s">
        <v>231</v>
      </c>
      <c r="Q26" s="4" t="s">
        <v>53</v>
      </c>
      <c r="R26" s="10">
        <v>1400000</v>
      </c>
      <c r="S26" s="10">
        <v>2400</v>
      </c>
      <c r="T26" s="4" t="s">
        <v>54</v>
      </c>
      <c r="U26" s="4">
        <v>2028</v>
      </c>
      <c r="V26" s="4" t="s">
        <v>55</v>
      </c>
      <c r="W26" s="4">
        <f>COUNTIFS('Desempenho por Jogo (Logs)'!$G$5:$G$206, A26)</f>
        <v>9</v>
      </c>
      <c r="X26" s="4">
        <f>COUNTIFS('Desempenho por Jogo (Logs)'!$G$5:$G$206, A26, 'Desempenho por Jogo (Logs)'!$J$5:$J$206, "&lt;&gt;RES")</f>
        <v>4</v>
      </c>
      <c r="Y26" s="4">
        <f>COUNTIFS('Desempenho por Jogo (Logs)'!$G$5:$G$206, A26, 'Desempenho por Jogo (Logs)'!$J$5:$J$206, "RES")</f>
        <v>5</v>
      </c>
      <c r="Z26" s="4">
        <f>SUMIFS('Desempenho por Jogo (Logs)'!$K$5:$K$206, 'Desempenho por Jogo (Logs)'!$G$5:$G$206, A26)</f>
        <v>397</v>
      </c>
      <c r="AA26" s="11">
        <f>IF(Z26&gt;0, Z26/540, 0)</f>
        <v>0.33899999999999997</v>
      </c>
      <c r="AB26" s="4">
        <f>SUMIFS('Desempenho por Jogo (Logs)'!$L$5:$L$206, 'Desempenho por Jogo (Logs)'!$G$5:$G$206, A26)</f>
        <v>0</v>
      </c>
      <c r="AC26" s="4">
        <v>0</v>
      </c>
      <c r="AD26" s="4">
        <f>AB26+AC26</f>
        <v>0</v>
      </c>
      <c r="AE26" s="13">
        <f>IF(Z26&gt;0, ROUND((AD26/Z26)*90, 2), 0)</f>
        <v>0.0</v>
      </c>
      <c r="AF26" s="4">
        <f>SUMIFS('Desempenho por Jogo (Logs)'!$L$5:$L$206, 'Desempenho por Jogo (Logs)'!$G$5:$G$206, A26, 'Desempenho por Jogo (Logs)'!$C$5:$C$206, "*Liga*")</f>
        <v>0</v>
      </c>
      <c r="AG26" s="4">
        <v>0</v>
      </c>
      <c r="AH26" s="4">
        <f>SUMIFS('Desempenho por Jogo (Logs)'!$L$5:$L$206, 'Desempenho por Jogo (Logs)'!$G$5:$G$206, A26, 'Desempenho por Jogo (Logs)'!$C$5:$C$206, "*Trophy*")</f>
        <v>0</v>
      </c>
      <c r="AI26" s="4">
        <v>0</v>
      </c>
      <c r="AJ26" s="4">
        <v>1</v>
      </c>
      <c r="AK26" s="13">
        <f>IFERROR(ROUND(AVERAGEIFS('Desempenho por Jogo (Logs)'!$N$5:$N$206, 'Desempenho por Jogo (Logs)'!$G$5:$G$206, A26, 'Desempenho por Jogo (Logs)'!$N$5:$N$206, "&gt;0"), 2), "S/N")</f>
        <v>6.73</v>
      </c>
      <c r="AL26" s="4" t="s">
        <v>232</v>
      </c>
      <c r="AM26" s="4" t="str">
        <f>IF(W26=0, "Nula (0 jogos)", IF(OR(W26&lt;=2, Z26&lt;150), "Baixa — Amostra Insuficiente", IF(AND(W26&gt;=4, Z26&gt;=240), "Alta", "Moderada")))</f>
        <v>Alta (≥4J e ≥270m)</v>
      </c>
      <c r="AN26" s="5" t="str">
        <f>IF(W26=0, "Sem minutagem no save", IF(OR(W26&lt;=2, Z26&lt;150), "Amostra insuficiente (" &amp; W26 &amp; "J / " &amp; Z26 &amp; "m) — Continuar observando", IF(AK26&gt;=7.5, "Promover minutos / Titularidade em ascensão", IF(AK26&gt;=7.0, "Manter minutagem atual", "Avaliar opções / Rotação"))))</f>
        <v>Manter na Rotação do Elenco</v>
      </c>
      <c r="AO26" s="6" t="s">
        <v>233</v>
      </c>
      <c r="AP26" s="6" t="s">
        <v>234</v>
      </c>
    </row>
    <row r="27" spans="1:42" ht="21" customHeight="1">
      <c r="A27" s="4">
        <v>228707</v>
      </c>
      <c r="B27" s="4">
        <v>23</v>
      </c>
      <c r="C27" s="5" t="s">
        <v>235</v>
      </c>
      <c r="D27" s="6" t="s">
        <v>236</v>
      </c>
      <c r="E27" s="4" t="s">
        <v>209</v>
      </c>
      <c r="F27" s="4" t="s">
        <v>237</v>
      </c>
      <c r="G27" s="4" t="s">
        <v>48</v>
      </c>
      <c r="H27" s="4" t="s">
        <v>74</v>
      </c>
      <c r="I27" s="4" t="s">
        <v>75</v>
      </c>
      <c r="J27" s="4" t="s">
        <v>51</v>
      </c>
      <c r="K27" s="7">
        <v>67</v>
      </c>
      <c r="L27" s="8">
        <v>68</v>
      </c>
      <c r="M27" s="9">
        <f>L27-K27</f>
        <v>1</v>
      </c>
      <c r="N27" s="9">
        <f>K27-66</f>
        <v>1</v>
      </c>
      <c r="O27" s="4">
        <v>28</v>
      </c>
      <c r="P27" s="4" t="s">
        <v>238</v>
      </c>
      <c r="Q27" s="4" t="s">
        <v>53</v>
      </c>
      <c r="R27" s="10">
        <v>1100000</v>
      </c>
      <c r="S27" s="10">
        <v>3500</v>
      </c>
      <c r="T27" s="4" t="s">
        <v>188</v>
      </c>
      <c r="U27" s="4">
        <v>2027</v>
      </c>
      <c r="V27" s="4" t="s">
        <v>66</v>
      </c>
      <c r="W27" s="4">
        <f>COUNTIFS('Desempenho por Jogo (Logs)'!$G$5:$G$206, A27)</f>
        <v>4</v>
      </c>
      <c r="X27" s="4">
        <f>COUNTIFS('Desempenho por Jogo (Logs)'!$G$5:$G$206, A27, 'Desempenho por Jogo (Logs)'!$J$5:$J$206, "&lt;&gt;RES")</f>
        <v>4</v>
      </c>
      <c r="Y27" s="4">
        <f>COUNTIFS('Desempenho por Jogo (Logs)'!$G$5:$G$206, A27, 'Desempenho por Jogo (Logs)'!$J$5:$J$206, "RES")</f>
        <v>0</v>
      </c>
      <c r="Z27" s="4">
        <f>SUMIFS('Desempenho por Jogo (Logs)'!$K$5:$K$206, 'Desempenho por Jogo (Logs)'!$G$5:$G$206, A27)</f>
        <v>360</v>
      </c>
      <c r="AA27" s="11">
        <f>IF(Z27&gt;0, Z27/540, 0)</f>
        <v>0.308</v>
      </c>
      <c r="AB27" s="4">
        <f>SUMIFS('Desempenho por Jogo (Logs)'!$L$5:$L$206, 'Desempenho por Jogo (Logs)'!$G$5:$G$206, A27)</f>
        <v>0</v>
      </c>
      <c r="AC27" s="4">
        <v>0</v>
      </c>
      <c r="AD27" s="4">
        <f>AB27+AC27</f>
        <v>0</v>
      </c>
      <c r="AE27" s="13">
        <f>IF(Z27&gt;0, ROUND((AD27/Z27)*90, 2), 0)</f>
        <v>0.0</v>
      </c>
      <c r="AF27" s="4">
        <f>SUMIFS('Desempenho por Jogo (Logs)'!$L$5:$L$206, 'Desempenho por Jogo (Logs)'!$G$5:$G$206, A27, 'Desempenho por Jogo (Logs)'!$C$5:$C$206, "*Liga*")</f>
        <v>0</v>
      </c>
      <c r="AG27" s="4">
        <v>0</v>
      </c>
      <c r="AH27" s="4">
        <f>SUMIFS('Desempenho por Jogo (Logs)'!$L$5:$L$206, 'Desempenho por Jogo (Logs)'!$G$5:$G$206, A27, 'Desempenho por Jogo (Logs)'!$C$5:$C$206, "*Trophy*")</f>
        <v>0</v>
      </c>
      <c r="AI27" s="4">
        <v>0</v>
      </c>
      <c r="AJ27" s="4">
        <v>0</v>
      </c>
      <c r="AK27" s="13">
        <f>IFERROR(ROUND(AVERAGEIFS('Desempenho por Jogo (Logs)'!$N$5:$N$206, 'Desempenho por Jogo (Logs)'!$G$5:$G$206, A27, 'Desempenho por Jogo (Logs)'!$N$5:$N$206, "&gt;0"), 2), "S/N")</f>
        <v>7.3</v>
      </c>
      <c r="AL27" s="4" t="s">
        <v>239</v>
      </c>
      <c r="AM27" s="4" t="str">
        <f>IF(W27=0, "Nula (0 jogos)", IF(OR(W27&lt;=2, Z27&lt;150), "Baixa — Amostra Insuficiente", IF(AND(W27&gt;=4, Z27&gt;=240), "Alta", "Moderada")))</f>
        <v>Alta (≥4J e ≥270m)</v>
      </c>
      <c r="AN27" s="5" t="str">
        <f>IF(W27=0, "Sem minutagem no save", IF(OR(W27&lt;=2, Z27&lt;150), "Amostra insuficiente (" &amp; W27 &amp; "J / " &amp; Z27 &amp; "m) — Continuar observando", IF(AK27&gt;=7.5, "Promover minutos / Titularidade em ascensão", IF(AK27&gt;=7.0, "Manter minutagem atual", "Avaliar opções / Rotação"))))</f>
        <v>Sugestão: Testar com Mais Minutos na Rotação</v>
      </c>
      <c r="AO27" s="6" t="s">
        <v>240</v>
      </c>
      <c r="AP27" s="6" t="s">
        <v>241</v>
      </c>
    </row>
    <row r="28" spans="1:42" ht="21" customHeight="1">
      <c r="A28" s="4">
        <v>263347</v>
      </c>
      <c r="B28" s="4">
        <v>24</v>
      </c>
      <c r="C28" s="5" t="s">
        <v>242</v>
      </c>
      <c r="D28" s="6" t="s">
        <v>242</v>
      </c>
      <c r="E28" s="4" t="s">
        <v>209</v>
      </c>
      <c r="F28" s="4" t="s">
        <v>243</v>
      </c>
      <c r="G28" s="4" t="s">
        <v>48</v>
      </c>
      <c r="H28" s="4" t="s">
        <v>244</v>
      </c>
      <c r="I28" s="4" t="s">
        <v>50</v>
      </c>
      <c r="J28" s="4" t="s">
        <v>64</v>
      </c>
      <c r="K28" s="7">
        <v>63</v>
      </c>
      <c r="L28" s="8">
        <v>66</v>
      </c>
      <c r="M28" s="9">
        <f>L28-K28</f>
        <v>3</v>
      </c>
      <c r="N28" s="9">
        <f>K28-63</f>
        <v>0</v>
      </c>
      <c r="O28" s="4">
        <v>25</v>
      </c>
      <c r="P28" s="4" t="s">
        <v>245</v>
      </c>
      <c r="Q28" s="4" t="s">
        <v>187</v>
      </c>
      <c r="R28" s="10">
        <v>775000</v>
      </c>
      <c r="S28" s="10">
        <v>2200</v>
      </c>
      <c r="T28" s="4" t="s">
        <v>54</v>
      </c>
      <c r="U28" s="4">
        <v>2029</v>
      </c>
      <c r="V28" s="4" t="s">
        <v>98</v>
      </c>
      <c r="W28" s="4">
        <f>COUNTIFS('Desempenho por Jogo (Logs)'!$G$5:$G$206, A28)</f>
        <v>3</v>
      </c>
      <c r="X28" s="4">
        <f>COUNTIFS('Desempenho por Jogo (Logs)'!$G$5:$G$206, A28, 'Desempenho por Jogo (Logs)'!$J$5:$J$206, "&lt;&gt;RES")</f>
        <v>3</v>
      </c>
      <c r="Y28" s="4">
        <f>COUNTIFS('Desempenho por Jogo (Logs)'!$G$5:$G$206, A28, 'Desempenho por Jogo (Logs)'!$J$5:$J$206, "RES")</f>
        <v>0</v>
      </c>
      <c r="Z28" s="4">
        <f>SUMIFS('Desempenho por Jogo (Logs)'!$K$5:$K$206, 'Desempenho por Jogo (Logs)'!$G$5:$G$206, A28)</f>
        <v>168</v>
      </c>
      <c r="AA28" s="11">
        <f>IF(Z28&gt;0, Z28/540, 0)</f>
        <v>0.14400000000000002</v>
      </c>
      <c r="AB28" s="4">
        <f>SUMIFS('Desempenho por Jogo (Logs)'!$L$5:$L$206, 'Desempenho por Jogo (Logs)'!$G$5:$G$206, A28)</f>
        <v>0</v>
      </c>
      <c r="AC28" s="4">
        <v>1</v>
      </c>
      <c r="AD28" s="12">
        <f>AB28+AC28</f>
        <v>1</v>
      </c>
      <c r="AE28" s="13">
        <f>IF(Z28&gt;0, ROUND((AD28/Z28)*90, 2), 0)</f>
        <v>0.54</v>
      </c>
      <c r="AF28" s="4">
        <f>SUMIFS('Desempenho por Jogo (Logs)'!$L$5:$L$206, 'Desempenho por Jogo (Logs)'!$G$5:$G$206, A28, 'Desempenho por Jogo (Logs)'!$C$5:$C$206, "*Liga*")</f>
        <v>0</v>
      </c>
      <c r="AG28" s="4">
        <v>1</v>
      </c>
      <c r="AH28" s="4">
        <f>SUMIFS('Desempenho por Jogo (Logs)'!$L$5:$L$206, 'Desempenho por Jogo (Logs)'!$G$5:$G$206, A28, 'Desempenho por Jogo (Logs)'!$C$5:$C$206, "*Trophy*")</f>
        <v>0</v>
      </c>
      <c r="AI28" s="4">
        <v>0</v>
      </c>
      <c r="AJ28" s="4">
        <v>0</v>
      </c>
      <c r="AK28" s="13">
        <f>IFERROR(ROUND(AVERAGEIFS('Desempenho por Jogo (Logs)'!$N$5:$N$206, 'Desempenho por Jogo (Logs)'!$G$5:$G$206, A28, 'Desempenho por Jogo (Logs)'!$N$5:$N$206, "&gt;0"), 2), "S/N")</f>
        <v>7.1</v>
      </c>
      <c r="AL28" s="4" t="s">
        <v>246</v>
      </c>
      <c r="AM28" s="4" t="str">
        <f>IF(W28=0, "Nula (0 jogos)", IF(OR(W28&lt;=2, Z28&lt;150), "Baixa — Amostra Insuficiente", IF(AND(W28&gt;=4, Z28&gt;=240), "Alta", "Moderada")))</f>
        <v>Moderada (≥3J e ≥150m)</v>
      </c>
      <c r="AN28" s="5" t="str">
        <f>IF(W28=0, "Sem minutagem no save", IF(OR(W28&lt;=2, Z28&lt;150), "Amostra insuficiente (" &amp; W28 &amp; "J / " &amp; Z28 &amp; "m) — Continuar observando", IF(AK28&gt;=7.5, "Promover minutos / Titularidade em ascensão", IF(AK28&gt;=7.0, "Manter minutagem atual", "Avaliar opções / Rotação"))))</f>
        <v>Manter na Rotação do Elenco</v>
      </c>
      <c r="AO28" s="6" t="s">
        <v>247</v>
      </c>
      <c r="AP28" s="6" t="s">
        <v>248</v>
      </c>
    </row>
    <row r="29" spans="1:42" ht="21" customHeight="1">
      <c r="A29" s="4">
        <v>85904</v>
      </c>
      <c r="B29" s="4">
        <v>30</v>
      </c>
      <c r="C29" s="5" t="s">
        <v>249</v>
      </c>
      <c r="D29" s="6" t="s">
        <v>249</v>
      </c>
      <c r="E29" s="4" t="s">
        <v>209</v>
      </c>
      <c r="F29" s="4" t="s">
        <v>250</v>
      </c>
      <c r="G29" s="4" t="s">
        <v>48</v>
      </c>
      <c r="H29" s="4" t="s">
        <v>50</v>
      </c>
      <c r="I29" s="4" t="s">
        <v>84</v>
      </c>
      <c r="J29" s="4" t="s">
        <v>64</v>
      </c>
      <c r="K29" s="7">
        <v>58</v>
      </c>
      <c r="L29" s="8">
        <v>69</v>
      </c>
      <c r="M29" s="9">
        <f>L29-K29</f>
        <v>11</v>
      </c>
      <c r="N29" s="9">
        <f>K29-58</f>
        <v>0</v>
      </c>
      <c r="O29" s="4">
        <v>20</v>
      </c>
      <c r="P29" s="4" t="s">
        <v>251</v>
      </c>
      <c r="Q29" s="4" t="s">
        <v>53</v>
      </c>
      <c r="R29" s="10">
        <v>525000</v>
      </c>
      <c r="S29" s="10">
        <v>1200</v>
      </c>
      <c r="T29" s="4" t="s">
        <v>252</v>
      </c>
      <c r="U29" s="4">
        <v>2026</v>
      </c>
      <c r="V29" s="14" t="s">
        <v>253</v>
      </c>
      <c r="W29" s="4">
        <f>COUNTIFS('Desempenho por Jogo (Logs)'!$G$5:$G$206, A29)</f>
        <v>3</v>
      </c>
      <c r="X29" s="4">
        <f>COUNTIFS('Desempenho por Jogo (Logs)'!$G$5:$G$206, A29, 'Desempenho por Jogo (Logs)'!$J$5:$J$206, "&lt;&gt;RES")</f>
        <v>3</v>
      </c>
      <c r="Y29" s="4">
        <f>COUNTIFS('Desempenho por Jogo (Logs)'!$G$5:$G$206, A29, 'Desempenho por Jogo (Logs)'!$J$5:$J$206, "RES")</f>
        <v>0</v>
      </c>
      <c r="Z29" s="4">
        <f>SUMIFS('Desempenho por Jogo (Logs)'!$K$5:$K$206, 'Desempenho por Jogo (Logs)'!$G$5:$G$206, A29)</f>
        <v>211</v>
      </c>
      <c r="AA29" s="11">
        <f>IF(Z29&gt;0, Z29/540, 0)</f>
        <v>0.18</v>
      </c>
      <c r="AB29" s="4">
        <f>SUMIFS('Desempenho por Jogo (Logs)'!$L$5:$L$206, 'Desempenho por Jogo (Logs)'!$G$5:$G$206, A29)</f>
        <v>0</v>
      </c>
      <c r="AC29" s="4">
        <v>1</v>
      </c>
      <c r="AD29" s="12">
        <f>AB29+AC29</f>
        <v>1</v>
      </c>
      <c r="AE29" s="13">
        <f>IF(Z29&gt;0, ROUND((AD29/Z29)*90, 2), 0)</f>
        <v>0.43</v>
      </c>
      <c r="AF29" s="4">
        <f>SUMIFS('Desempenho por Jogo (Logs)'!$L$5:$L$206, 'Desempenho por Jogo (Logs)'!$G$5:$G$206, A29, 'Desempenho por Jogo (Logs)'!$C$5:$C$206, "*Liga*")</f>
        <v>0</v>
      </c>
      <c r="AG29" s="4">
        <v>0</v>
      </c>
      <c r="AH29" s="4">
        <f>SUMIFS('Desempenho por Jogo (Logs)'!$L$5:$L$206, 'Desempenho por Jogo (Logs)'!$G$5:$G$206, A29, 'Desempenho por Jogo (Logs)'!$C$5:$C$206, "*Trophy*")</f>
        <v>0</v>
      </c>
      <c r="AI29" s="4">
        <v>1</v>
      </c>
      <c r="AJ29" s="4">
        <v>0</v>
      </c>
      <c r="AK29" s="13">
        <f>IFERROR(ROUND(AVERAGEIFS('Desempenho por Jogo (Logs)'!$N$5:$N$206, 'Desempenho por Jogo (Logs)'!$G$5:$G$206, A29, 'Desempenho por Jogo (Logs)'!$N$5:$N$206, "&gt;0"), 2), "S/N")</f>
        <v>7.4</v>
      </c>
      <c r="AL29" s="4" t="s">
        <v>254</v>
      </c>
      <c r="AM29" s="4" t="str">
        <f>IF(W29=0, "Nula (0 jogos)", IF(OR(W29&lt;=2, Z29&lt;150), "Baixa — Amostra Insuficiente", IF(AND(W29&gt;=4, Z29&gt;=240), "Alta", "Moderada")))</f>
        <v>Moderada (≥3J e ≥150m)</v>
      </c>
      <c r="AN29" s="5" t="str">
        <f>IF(W29=0, "Sem minutagem no save", IF(OR(W29&lt;=2, Z29&lt;150), "Amostra insuficiente (" &amp; W29 &amp; "J / " &amp; Z29 &amp; "m) — Continuar observando", IF(AK29&gt;=7.5, "Promover minutos / Titularidade em ascensão", IF(AK29&gt;=7.0, "Manter minutagem atual", "Avaliar opções / Rotação"))))</f>
        <v>Sugestão: Testar com Mais Minutos na Rotação</v>
      </c>
      <c r="AO29" s="6" t="s">
        <v>255</v>
      </c>
      <c r="AP29" s="6" t="s">
        <v>256</v>
      </c>
    </row>
  </sheetData>
  <autoFilter ref="A4:AP29"/>
  <mergeCells count="2">
    <mergeCell ref="A1:AP1"/>
    <mergeCell ref="A2:A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6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2" width="16.7109375" customWidth="1"/>
    <col min="3" max="3" width="34.7109375" customWidth="1"/>
    <col min="4" max="8" width="16.7109375" customWidth="1"/>
    <col min="9" max="9" width="22.7109375" customWidth="1"/>
    <col min="10" max="12" width="16.7109375" customWidth="1"/>
    <col min="13" max="13" width="22.7109375" customWidth="1"/>
    <col min="14" max="14" width="16.7109375" customWidth="1"/>
  </cols>
  <sheetData>
    <row r="1" spans="1:14" ht="28" customHeight="1">
      <c r="A1" s="1" t="s">
        <v>257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>
      <c r="A2" s="2" t="s">
        <v>258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28" customHeight="1">
      <c r="A4" s="3" t="s">
        <v>259</v>
      </c>
      <c r="B4" s="3" t="s">
        <v>260</v>
      </c>
      <c r="C4" s="3" t="s">
        <v>261</v>
      </c>
      <c r="D4" s="3" t="s">
        <v>262</v>
      </c>
      <c r="E4" s="3" t="s">
        <v>263</v>
      </c>
      <c r="F4" s="3" t="s">
        <v>264</v>
      </c>
      <c r="G4" s="3" t="s">
        <v>2</v>
      </c>
      <c r="H4" s="3" t="s">
        <v>265</v>
      </c>
      <c r="I4" s="3" t="s">
        <v>4</v>
      </c>
      <c r="J4" s="3" t="s">
        <v>266</v>
      </c>
      <c r="K4" s="3" t="s">
        <v>267</v>
      </c>
      <c r="L4" s="3" t="s">
        <v>268</v>
      </c>
      <c r="M4" s="3" t="s">
        <v>269</v>
      </c>
      <c r="N4" s="3" t="s">
        <v>270</v>
      </c>
    </row>
    <row r="5" spans="1:14" ht="20" customHeight="1">
      <c r="A5" s="4" t="s">
        <v>271</v>
      </c>
      <c r="B5" s="4" t="s">
        <v>272</v>
      </c>
      <c r="C5" s="6" t="s">
        <v>273</v>
      </c>
      <c r="D5" s="5" t="s">
        <v>274</v>
      </c>
      <c r="E5" s="4" t="s">
        <v>275</v>
      </c>
      <c r="F5" s="4" t="s">
        <v>276</v>
      </c>
      <c r="G5" s="4">
        <v>241505</v>
      </c>
      <c r="H5" s="4">
        <v>17</v>
      </c>
      <c r="I5" s="5" t="s">
        <v>184</v>
      </c>
      <c r="J5" s="4" t="s">
        <v>49</v>
      </c>
      <c r="K5" s="4">
        <v>90</v>
      </c>
      <c r="L5" s="4">
        <v>0</v>
      </c>
      <c r="M5" s="4">
        <v>0</v>
      </c>
      <c r="N5" s="13">
        <v>6.9</v>
      </c>
    </row>
    <row r="6" spans="1:14" ht="20" customHeight="1">
      <c r="A6" s="4" t="s">
        <v>271</v>
      </c>
      <c r="B6" s="4" t="s">
        <v>272</v>
      </c>
      <c r="C6" s="6" t="s">
        <v>273</v>
      </c>
      <c r="D6" s="5" t="s">
        <v>274</v>
      </c>
      <c r="E6" s="4" t="s">
        <v>275</v>
      </c>
      <c r="F6" s="4" t="s">
        <v>276</v>
      </c>
      <c r="G6" s="4">
        <v>279881</v>
      </c>
      <c r="H6" s="4">
        <v>21</v>
      </c>
      <c r="I6" s="5" t="s">
        <v>130</v>
      </c>
      <c r="J6" s="4" t="s">
        <v>50</v>
      </c>
      <c r="K6" s="4">
        <v>90</v>
      </c>
      <c r="L6" s="4">
        <v>0</v>
      </c>
      <c r="M6" s="12" t="s">
        <v>277</v>
      </c>
      <c r="N6" s="13">
        <v>6.7</v>
      </c>
    </row>
    <row r="7" spans="1:14" ht="20" customHeight="1">
      <c r="A7" s="4" t="s">
        <v>271</v>
      </c>
      <c r="B7" s="4" t="s">
        <v>272</v>
      </c>
      <c r="C7" s="6" t="s">
        <v>273</v>
      </c>
      <c r="D7" s="5" t="s">
        <v>274</v>
      </c>
      <c r="E7" s="4" t="s">
        <v>275</v>
      </c>
      <c r="F7" s="4" t="s">
        <v>276</v>
      </c>
      <c r="G7" s="4">
        <v>271955</v>
      </c>
      <c r="H7" s="4">
        <v>5</v>
      </c>
      <c r="I7" s="5" t="s">
        <v>70</v>
      </c>
      <c r="J7" s="4" t="s">
        <v>74</v>
      </c>
      <c r="K7" s="4">
        <v>90</v>
      </c>
      <c r="L7" s="4">
        <v>0</v>
      </c>
      <c r="M7" s="4">
        <v>0</v>
      </c>
      <c r="N7" s="13">
        <v>6.3</v>
      </c>
    </row>
    <row r="8" spans="1:14" ht="20" customHeight="1">
      <c r="A8" s="4" t="s">
        <v>271</v>
      </c>
      <c r="B8" s="4" t="s">
        <v>272</v>
      </c>
      <c r="C8" s="6" t="s">
        <v>273</v>
      </c>
      <c r="D8" s="5" t="s">
        <v>274</v>
      </c>
      <c r="E8" s="4" t="s">
        <v>275</v>
      </c>
      <c r="F8" s="4" t="s">
        <v>276</v>
      </c>
      <c r="G8" s="4">
        <v>276198</v>
      </c>
      <c r="H8" s="4">
        <v>25</v>
      </c>
      <c r="I8" s="5" t="s">
        <v>146</v>
      </c>
      <c r="J8" s="4" t="s">
        <v>149</v>
      </c>
      <c r="K8" s="4">
        <v>90</v>
      </c>
      <c r="L8" s="4">
        <v>0</v>
      </c>
      <c r="M8" s="4">
        <v>0</v>
      </c>
      <c r="N8" s="13">
        <v>6.1</v>
      </c>
    </row>
    <row r="9" spans="1:14" ht="20" customHeight="1">
      <c r="A9" s="4" t="s">
        <v>271</v>
      </c>
      <c r="B9" s="4" t="s">
        <v>272</v>
      </c>
      <c r="C9" s="6" t="s">
        <v>273</v>
      </c>
      <c r="D9" s="5" t="s">
        <v>274</v>
      </c>
      <c r="E9" s="4" t="s">
        <v>275</v>
      </c>
      <c r="F9" s="4" t="s">
        <v>276</v>
      </c>
      <c r="G9" s="4">
        <v>266100</v>
      </c>
      <c r="H9" s="4">
        <v>6</v>
      </c>
      <c r="I9" s="5" t="s">
        <v>81</v>
      </c>
      <c r="J9" s="4" t="s">
        <v>50</v>
      </c>
      <c r="K9" s="4">
        <v>88</v>
      </c>
      <c r="L9" s="4">
        <v>0</v>
      </c>
      <c r="M9" s="12" t="s">
        <v>277</v>
      </c>
      <c r="N9" s="13">
        <v>7.9</v>
      </c>
    </row>
    <row r="10" spans="1:14" ht="20" customHeight="1">
      <c r="A10" s="4" t="s">
        <v>271</v>
      </c>
      <c r="B10" s="4" t="s">
        <v>272</v>
      </c>
      <c r="C10" s="6" t="s">
        <v>273</v>
      </c>
      <c r="D10" s="5" t="s">
        <v>274</v>
      </c>
      <c r="E10" s="4" t="s">
        <v>275</v>
      </c>
      <c r="F10" s="4" t="s">
        <v>276</v>
      </c>
      <c r="G10" s="4">
        <v>260044</v>
      </c>
      <c r="H10" s="4">
        <v>11</v>
      </c>
      <c r="I10" s="5" t="s">
        <v>221</v>
      </c>
      <c r="J10" s="4" t="s">
        <v>140</v>
      </c>
      <c r="K10" s="4">
        <v>88</v>
      </c>
      <c r="L10" s="12">
        <v>1</v>
      </c>
      <c r="M10" s="4">
        <v>0</v>
      </c>
      <c r="N10" s="13">
        <v>7.3</v>
      </c>
    </row>
    <row r="11" spans="1:14" ht="20" customHeight="1">
      <c r="A11" s="4" t="s">
        <v>271</v>
      </c>
      <c r="B11" s="4" t="s">
        <v>272</v>
      </c>
      <c r="C11" s="6" t="s">
        <v>273</v>
      </c>
      <c r="D11" s="5" t="s">
        <v>274</v>
      </c>
      <c r="E11" s="4" t="s">
        <v>275</v>
      </c>
      <c r="F11" s="4" t="s">
        <v>276</v>
      </c>
      <c r="G11" s="4">
        <v>75437</v>
      </c>
      <c r="H11" s="4">
        <v>29</v>
      </c>
      <c r="I11" s="5" t="s">
        <v>200</v>
      </c>
      <c r="J11" s="4" t="s">
        <v>114</v>
      </c>
      <c r="K11" s="4">
        <v>88</v>
      </c>
      <c r="L11" s="4">
        <v>0</v>
      </c>
      <c r="M11" s="4">
        <v>0</v>
      </c>
      <c r="N11" s="13">
        <v>6.7</v>
      </c>
    </row>
    <row r="12" spans="1:14" ht="20" customHeight="1">
      <c r="A12" s="4" t="s">
        <v>271</v>
      </c>
      <c r="B12" s="4" t="s">
        <v>272</v>
      </c>
      <c r="C12" s="6" t="s">
        <v>273</v>
      </c>
      <c r="D12" s="5" t="s">
        <v>274</v>
      </c>
      <c r="E12" s="4" t="s">
        <v>275</v>
      </c>
      <c r="F12" s="4" t="s">
        <v>276</v>
      </c>
      <c r="G12" s="4">
        <v>277311</v>
      </c>
      <c r="H12" s="4">
        <v>10</v>
      </c>
      <c r="I12" s="5" t="s">
        <v>215</v>
      </c>
      <c r="J12" s="4" t="s">
        <v>50</v>
      </c>
      <c r="K12" s="4">
        <v>88</v>
      </c>
      <c r="L12" s="4">
        <v>0</v>
      </c>
      <c r="M12" s="4">
        <v>0</v>
      </c>
      <c r="N12" s="13">
        <v>6.2</v>
      </c>
    </row>
    <row r="13" spans="1:14" ht="20" customHeight="1">
      <c r="A13" s="4" t="s">
        <v>271</v>
      </c>
      <c r="B13" s="4" t="s">
        <v>272</v>
      </c>
      <c r="C13" s="6" t="s">
        <v>273</v>
      </c>
      <c r="D13" s="5" t="s">
        <v>274</v>
      </c>
      <c r="E13" s="4" t="s">
        <v>275</v>
      </c>
      <c r="F13" s="4" t="s">
        <v>276</v>
      </c>
      <c r="G13" s="4">
        <v>279603</v>
      </c>
      <c r="H13" s="4">
        <v>15</v>
      </c>
      <c r="I13" s="5" t="s">
        <v>178</v>
      </c>
      <c r="J13" s="4" t="s">
        <v>63</v>
      </c>
      <c r="K13" s="4">
        <v>88</v>
      </c>
      <c r="L13" s="4">
        <v>0</v>
      </c>
      <c r="M13" s="12" t="s">
        <v>277</v>
      </c>
      <c r="N13" s="13">
        <v>6.1</v>
      </c>
    </row>
    <row r="14" spans="1:14" ht="20" customHeight="1">
      <c r="A14" s="4" t="s">
        <v>271</v>
      </c>
      <c r="B14" s="4" t="s">
        <v>272</v>
      </c>
      <c r="C14" s="6" t="s">
        <v>273</v>
      </c>
      <c r="D14" s="5" t="s">
        <v>274</v>
      </c>
      <c r="E14" s="4" t="s">
        <v>275</v>
      </c>
      <c r="F14" s="4" t="s">
        <v>276</v>
      </c>
      <c r="G14" s="4">
        <v>245704</v>
      </c>
      <c r="H14" s="4">
        <v>20</v>
      </c>
      <c r="I14" s="5" t="s">
        <v>192</v>
      </c>
      <c r="J14" s="4" t="s">
        <v>278</v>
      </c>
      <c r="K14" s="4">
        <v>46</v>
      </c>
      <c r="L14" s="4">
        <v>0</v>
      </c>
      <c r="M14" s="4">
        <v>0</v>
      </c>
      <c r="N14" s="13">
        <v>6.1</v>
      </c>
    </row>
    <row r="15" spans="1:14" ht="20" customHeight="1">
      <c r="A15" s="4" t="s">
        <v>271</v>
      </c>
      <c r="B15" s="4" t="s">
        <v>272</v>
      </c>
      <c r="C15" s="6" t="s">
        <v>273</v>
      </c>
      <c r="D15" s="5" t="s">
        <v>274</v>
      </c>
      <c r="E15" s="4" t="s">
        <v>275</v>
      </c>
      <c r="F15" s="4" t="s">
        <v>276</v>
      </c>
      <c r="G15" s="4">
        <v>79703</v>
      </c>
      <c r="H15" s="4">
        <v>4</v>
      </c>
      <c r="I15" s="5" t="s">
        <v>156</v>
      </c>
      <c r="J15" s="4" t="s">
        <v>279</v>
      </c>
      <c r="K15" s="4">
        <v>46</v>
      </c>
      <c r="L15" s="4">
        <v>0</v>
      </c>
      <c r="M15" s="4">
        <v>0</v>
      </c>
      <c r="N15" s="13">
        <v>4.8</v>
      </c>
    </row>
    <row r="16" spans="1:14" ht="20" customHeight="1">
      <c r="A16" s="4" t="s">
        <v>271</v>
      </c>
      <c r="B16" s="4" t="s">
        <v>272</v>
      </c>
      <c r="C16" s="6" t="s">
        <v>273</v>
      </c>
      <c r="D16" s="5" t="s">
        <v>274</v>
      </c>
      <c r="E16" s="4" t="s">
        <v>275</v>
      </c>
      <c r="F16" s="4" t="s">
        <v>276</v>
      </c>
      <c r="G16" s="4">
        <v>263006</v>
      </c>
      <c r="H16" s="4">
        <v>19</v>
      </c>
      <c r="I16" s="5" t="s">
        <v>121</v>
      </c>
      <c r="J16" s="4" t="s">
        <v>125</v>
      </c>
      <c r="K16" s="4">
        <v>45</v>
      </c>
      <c r="L16" s="4">
        <v>0</v>
      </c>
      <c r="M16" s="4">
        <v>0</v>
      </c>
      <c r="N16" s="13">
        <v>7.5</v>
      </c>
    </row>
    <row r="17" spans="1:14" ht="20" customHeight="1">
      <c r="A17" s="4" t="s">
        <v>271</v>
      </c>
      <c r="B17" s="4" t="s">
        <v>272</v>
      </c>
      <c r="C17" s="6" t="s">
        <v>273</v>
      </c>
      <c r="D17" s="5" t="s">
        <v>274</v>
      </c>
      <c r="E17" s="4" t="s">
        <v>275</v>
      </c>
      <c r="F17" s="4" t="s">
        <v>276</v>
      </c>
      <c r="G17" s="4">
        <v>247500</v>
      </c>
      <c r="H17" s="4">
        <v>12</v>
      </c>
      <c r="I17" s="5" t="s">
        <v>102</v>
      </c>
      <c r="J17" s="4" t="s">
        <v>74</v>
      </c>
      <c r="K17" s="4">
        <v>45</v>
      </c>
      <c r="L17" s="4">
        <v>0</v>
      </c>
      <c r="M17" s="4">
        <v>0</v>
      </c>
      <c r="N17" s="13">
        <v>6.7</v>
      </c>
    </row>
    <row r="18" spans="1:14" ht="20" customHeight="1">
      <c r="A18" s="4" t="s">
        <v>271</v>
      </c>
      <c r="B18" s="4" t="s">
        <v>272</v>
      </c>
      <c r="C18" s="6" t="s">
        <v>273</v>
      </c>
      <c r="D18" s="5" t="s">
        <v>274</v>
      </c>
      <c r="E18" s="4" t="s">
        <v>275</v>
      </c>
      <c r="F18" s="4" t="s">
        <v>276</v>
      </c>
      <c r="G18" s="4">
        <v>262498</v>
      </c>
      <c r="H18" s="4">
        <v>2</v>
      </c>
      <c r="I18" s="5" t="s">
        <v>44</v>
      </c>
      <c r="J18" s="4" t="s">
        <v>280</v>
      </c>
      <c r="K18" s="4">
        <v>3</v>
      </c>
      <c r="L18" s="4">
        <v>0</v>
      </c>
      <c r="M18" s="4">
        <v>0</v>
      </c>
      <c r="N18" s="13">
        <v>6.5</v>
      </c>
    </row>
    <row r="19" spans="1:14" ht="20" customHeight="1">
      <c r="A19" s="4" t="s">
        <v>271</v>
      </c>
      <c r="B19" s="4" t="s">
        <v>272</v>
      </c>
      <c r="C19" s="6" t="s">
        <v>273</v>
      </c>
      <c r="D19" s="5" t="s">
        <v>274</v>
      </c>
      <c r="E19" s="4" t="s">
        <v>275</v>
      </c>
      <c r="F19" s="4" t="s">
        <v>276</v>
      </c>
      <c r="G19" s="4">
        <v>79752</v>
      </c>
      <c r="H19" s="4">
        <v>18</v>
      </c>
      <c r="I19" s="5" t="s">
        <v>229</v>
      </c>
      <c r="J19" s="4" t="s">
        <v>281</v>
      </c>
      <c r="K19" s="4">
        <v>3</v>
      </c>
      <c r="L19" s="4">
        <v>0</v>
      </c>
      <c r="M19" s="4">
        <v>0</v>
      </c>
      <c r="N19" s="13">
        <v>6.4</v>
      </c>
    </row>
    <row r="20" spans="1:14" ht="20" customHeight="1">
      <c r="A20" s="4" t="s">
        <v>271</v>
      </c>
      <c r="B20" s="4" t="s">
        <v>272</v>
      </c>
      <c r="C20" s="6" t="s">
        <v>273</v>
      </c>
      <c r="D20" s="5" t="s">
        <v>274</v>
      </c>
      <c r="E20" s="4" t="s">
        <v>275</v>
      </c>
      <c r="F20" s="4" t="s">
        <v>276</v>
      </c>
      <c r="G20" s="4">
        <v>278758</v>
      </c>
      <c r="H20" s="4">
        <v>16</v>
      </c>
      <c r="I20" s="5" t="s">
        <v>109</v>
      </c>
      <c r="J20" s="4" t="s">
        <v>282</v>
      </c>
      <c r="K20" s="4">
        <v>3</v>
      </c>
      <c r="L20" s="4">
        <v>0</v>
      </c>
      <c r="M20" s="4">
        <v>0</v>
      </c>
      <c r="N20" s="13">
        <v>6.2</v>
      </c>
    </row>
    <row r="21" spans="1:14" ht="20" customHeight="1">
      <c r="A21" s="4" t="s">
        <v>271</v>
      </c>
      <c r="B21" s="4" t="s">
        <v>272</v>
      </c>
      <c r="C21" s="6" t="s">
        <v>273</v>
      </c>
      <c r="D21" s="5" t="s">
        <v>274</v>
      </c>
      <c r="E21" s="4" t="s">
        <v>275</v>
      </c>
      <c r="F21" s="4" t="s">
        <v>276</v>
      </c>
      <c r="G21" s="4">
        <v>274828</v>
      </c>
      <c r="H21" s="4">
        <v>7</v>
      </c>
      <c r="I21" s="5" t="s">
        <v>207</v>
      </c>
      <c r="J21" s="4" t="s">
        <v>283</v>
      </c>
      <c r="K21" s="4">
        <v>3</v>
      </c>
      <c r="L21" s="4">
        <v>0</v>
      </c>
      <c r="M21" s="4">
        <v>0</v>
      </c>
      <c r="N21" s="13">
        <v>6.2</v>
      </c>
    </row>
    <row r="22" spans="1:14" ht="20" customHeight="1">
      <c r="A22" s="4" t="s">
        <v>284</v>
      </c>
      <c r="B22" s="4" t="s">
        <v>285</v>
      </c>
      <c r="C22" s="6" t="s">
        <v>273</v>
      </c>
      <c r="D22" s="5" t="s">
        <v>286</v>
      </c>
      <c r="E22" s="4" t="s">
        <v>287</v>
      </c>
      <c r="F22" s="4" t="s">
        <v>288</v>
      </c>
      <c r="G22" s="4">
        <v>79752</v>
      </c>
      <c r="H22" s="4">
        <v>18</v>
      </c>
      <c r="I22" s="5" t="s">
        <v>229</v>
      </c>
      <c r="J22" s="4" t="s">
        <v>50</v>
      </c>
      <c r="K22" s="4">
        <v>90</v>
      </c>
      <c r="L22" s="4">
        <v>0</v>
      </c>
      <c r="M22" s="4">
        <v>0</v>
      </c>
      <c r="N22" s="13">
        <v>9.1</v>
      </c>
    </row>
    <row r="23" spans="1:14" ht="20" customHeight="1">
      <c r="A23" s="4" t="s">
        <v>284</v>
      </c>
      <c r="B23" s="4" t="s">
        <v>285</v>
      </c>
      <c r="C23" s="6" t="s">
        <v>273</v>
      </c>
      <c r="D23" s="5" t="s">
        <v>286</v>
      </c>
      <c r="E23" s="4" t="s">
        <v>287</v>
      </c>
      <c r="F23" s="4" t="s">
        <v>288</v>
      </c>
      <c r="G23" s="4">
        <v>271955</v>
      </c>
      <c r="H23" s="4">
        <v>5</v>
      </c>
      <c r="I23" s="5" t="s">
        <v>70</v>
      </c>
      <c r="J23" s="4" t="s">
        <v>74</v>
      </c>
      <c r="K23" s="4">
        <v>90</v>
      </c>
      <c r="L23" s="4">
        <v>0</v>
      </c>
      <c r="M23" s="4">
        <v>0</v>
      </c>
      <c r="N23" s="13">
        <v>8.800000000000001</v>
      </c>
    </row>
    <row r="24" spans="1:14" ht="20" customHeight="1">
      <c r="A24" s="4" t="s">
        <v>284</v>
      </c>
      <c r="B24" s="4" t="s">
        <v>285</v>
      </c>
      <c r="C24" s="6" t="s">
        <v>273</v>
      </c>
      <c r="D24" s="5" t="s">
        <v>286</v>
      </c>
      <c r="E24" s="4" t="s">
        <v>287</v>
      </c>
      <c r="F24" s="4" t="s">
        <v>288</v>
      </c>
      <c r="G24" s="4">
        <v>273022</v>
      </c>
      <c r="H24" s="4">
        <v>3</v>
      </c>
      <c r="I24" s="5" t="s">
        <v>59</v>
      </c>
      <c r="J24" s="4" t="s">
        <v>62</v>
      </c>
      <c r="K24" s="4">
        <v>90</v>
      </c>
      <c r="L24" s="12">
        <v>1</v>
      </c>
      <c r="M24" s="4">
        <v>0</v>
      </c>
      <c r="N24" s="13">
        <v>8.800000000000001</v>
      </c>
    </row>
    <row r="25" spans="1:14" ht="20" customHeight="1">
      <c r="A25" s="4" t="s">
        <v>284</v>
      </c>
      <c r="B25" s="4" t="s">
        <v>285</v>
      </c>
      <c r="C25" s="6" t="s">
        <v>273</v>
      </c>
      <c r="D25" s="5" t="s">
        <v>286</v>
      </c>
      <c r="E25" s="4" t="s">
        <v>287</v>
      </c>
      <c r="F25" s="4" t="s">
        <v>288</v>
      </c>
      <c r="G25" s="4">
        <v>236393</v>
      </c>
      <c r="H25" s="4">
        <v>22</v>
      </c>
      <c r="I25" s="5" t="s">
        <v>137</v>
      </c>
      <c r="J25" s="4" t="s">
        <v>140</v>
      </c>
      <c r="K25" s="4">
        <v>90</v>
      </c>
      <c r="L25" s="4">
        <v>0</v>
      </c>
      <c r="M25" s="12">
        <v>1</v>
      </c>
      <c r="N25" s="13">
        <v>8.699999999999999</v>
      </c>
    </row>
    <row r="26" spans="1:14" ht="20" customHeight="1">
      <c r="A26" s="4" t="s">
        <v>284</v>
      </c>
      <c r="B26" s="4" t="s">
        <v>285</v>
      </c>
      <c r="C26" s="6" t="s">
        <v>273</v>
      </c>
      <c r="D26" s="5" t="s">
        <v>286</v>
      </c>
      <c r="E26" s="4" t="s">
        <v>287</v>
      </c>
      <c r="F26" s="4" t="s">
        <v>288</v>
      </c>
      <c r="G26" s="4">
        <v>230134</v>
      </c>
      <c r="H26" s="4">
        <v>14</v>
      </c>
      <c r="I26" s="5" t="s">
        <v>171</v>
      </c>
      <c r="J26" s="4" t="s">
        <v>50</v>
      </c>
      <c r="K26" s="4">
        <v>90</v>
      </c>
      <c r="L26" s="4">
        <v>0</v>
      </c>
      <c r="M26" s="4">
        <v>0</v>
      </c>
      <c r="N26" s="13">
        <v>8.5</v>
      </c>
    </row>
    <row r="27" spans="1:14" ht="20" customHeight="1">
      <c r="A27" s="4" t="s">
        <v>284</v>
      </c>
      <c r="B27" s="4" t="s">
        <v>285</v>
      </c>
      <c r="C27" s="6" t="s">
        <v>273</v>
      </c>
      <c r="D27" s="5" t="s">
        <v>286</v>
      </c>
      <c r="E27" s="4" t="s">
        <v>287</v>
      </c>
      <c r="F27" s="4" t="s">
        <v>288</v>
      </c>
      <c r="G27" s="4">
        <v>262498</v>
      </c>
      <c r="H27" s="4">
        <v>2</v>
      </c>
      <c r="I27" s="5" t="s">
        <v>44</v>
      </c>
      <c r="J27" s="4" t="s">
        <v>49</v>
      </c>
      <c r="K27" s="4">
        <v>90</v>
      </c>
      <c r="L27" s="4">
        <v>0</v>
      </c>
      <c r="M27" s="4">
        <v>0</v>
      </c>
      <c r="N27" s="13">
        <v>8.5</v>
      </c>
    </row>
    <row r="28" spans="1:14" ht="20" customHeight="1">
      <c r="A28" s="4" t="s">
        <v>284</v>
      </c>
      <c r="B28" s="4" t="s">
        <v>285</v>
      </c>
      <c r="C28" s="6" t="s">
        <v>273</v>
      </c>
      <c r="D28" s="5" t="s">
        <v>286</v>
      </c>
      <c r="E28" s="4" t="s">
        <v>287</v>
      </c>
      <c r="F28" s="4" t="s">
        <v>288</v>
      </c>
      <c r="G28" s="4">
        <v>263006</v>
      </c>
      <c r="H28" s="4">
        <v>19</v>
      </c>
      <c r="I28" s="5" t="s">
        <v>121</v>
      </c>
      <c r="J28" s="4" t="s">
        <v>125</v>
      </c>
      <c r="K28" s="4">
        <v>90</v>
      </c>
      <c r="L28" s="12">
        <v>1</v>
      </c>
      <c r="M28" s="4">
        <v>0</v>
      </c>
      <c r="N28" s="13">
        <v>8.4</v>
      </c>
    </row>
    <row r="29" spans="1:14" ht="20" customHeight="1">
      <c r="A29" s="4" t="s">
        <v>284</v>
      </c>
      <c r="B29" s="4" t="s">
        <v>285</v>
      </c>
      <c r="C29" s="6" t="s">
        <v>273</v>
      </c>
      <c r="D29" s="5" t="s">
        <v>286</v>
      </c>
      <c r="E29" s="4" t="s">
        <v>287</v>
      </c>
      <c r="F29" s="4" t="s">
        <v>288</v>
      </c>
      <c r="G29" s="4">
        <v>85904</v>
      </c>
      <c r="H29" s="4">
        <v>30</v>
      </c>
      <c r="I29" s="5" t="s">
        <v>249</v>
      </c>
      <c r="J29" s="4" t="s">
        <v>50</v>
      </c>
      <c r="K29" s="4">
        <v>90</v>
      </c>
      <c r="L29" s="4">
        <v>0</v>
      </c>
      <c r="M29" s="12" t="s">
        <v>277</v>
      </c>
      <c r="N29" s="13">
        <v>8.1</v>
      </c>
    </row>
    <row r="30" spans="1:14" ht="20" customHeight="1">
      <c r="A30" s="4" t="s">
        <v>284</v>
      </c>
      <c r="B30" s="4" t="s">
        <v>285</v>
      </c>
      <c r="C30" s="6" t="s">
        <v>273</v>
      </c>
      <c r="D30" s="5" t="s">
        <v>286</v>
      </c>
      <c r="E30" s="4" t="s">
        <v>287</v>
      </c>
      <c r="F30" s="4" t="s">
        <v>288</v>
      </c>
      <c r="G30" s="4">
        <v>265405</v>
      </c>
      <c r="H30" s="4">
        <v>13</v>
      </c>
      <c r="I30" s="5" t="s">
        <v>164</v>
      </c>
      <c r="J30" s="4" t="s">
        <v>149</v>
      </c>
      <c r="K30" s="4">
        <v>90</v>
      </c>
      <c r="L30" s="4">
        <v>0</v>
      </c>
      <c r="M30" s="4">
        <v>0</v>
      </c>
      <c r="N30" s="13">
        <v>7.4</v>
      </c>
    </row>
    <row r="31" spans="1:14" ht="20" customHeight="1">
      <c r="A31" s="4" t="s">
        <v>284</v>
      </c>
      <c r="B31" s="4" t="s">
        <v>285</v>
      </c>
      <c r="C31" s="6" t="s">
        <v>273</v>
      </c>
      <c r="D31" s="5" t="s">
        <v>286</v>
      </c>
      <c r="E31" s="4" t="s">
        <v>287</v>
      </c>
      <c r="F31" s="4" t="s">
        <v>288</v>
      </c>
      <c r="G31" s="4">
        <v>278758</v>
      </c>
      <c r="H31" s="4">
        <v>16</v>
      </c>
      <c r="I31" s="5" t="s">
        <v>109</v>
      </c>
      <c r="J31" s="4" t="s">
        <v>113</v>
      </c>
      <c r="K31" s="4">
        <v>90</v>
      </c>
      <c r="L31" s="4">
        <v>0</v>
      </c>
      <c r="M31" s="4">
        <v>0</v>
      </c>
      <c r="N31" s="13">
        <v>6.5</v>
      </c>
    </row>
    <row r="32" spans="1:14" ht="20" customHeight="1">
      <c r="A32" s="4" t="s">
        <v>284</v>
      </c>
      <c r="B32" s="4" t="s">
        <v>285</v>
      </c>
      <c r="C32" s="6" t="s">
        <v>273</v>
      </c>
      <c r="D32" s="5" t="s">
        <v>286</v>
      </c>
      <c r="E32" s="4" t="s">
        <v>287</v>
      </c>
      <c r="F32" s="4" t="s">
        <v>288</v>
      </c>
      <c r="G32" s="4">
        <v>247500</v>
      </c>
      <c r="H32" s="4">
        <v>12</v>
      </c>
      <c r="I32" s="5" t="s">
        <v>102</v>
      </c>
      <c r="J32" s="4" t="s">
        <v>74</v>
      </c>
      <c r="K32" s="4">
        <v>75</v>
      </c>
      <c r="L32" s="4">
        <v>0</v>
      </c>
      <c r="M32" s="4">
        <v>0</v>
      </c>
      <c r="N32" s="13">
        <v>6.1</v>
      </c>
    </row>
    <row r="33" spans="1:14" ht="20" customHeight="1">
      <c r="A33" s="4" t="s">
        <v>284</v>
      </c>
      <c r="B33" s="4" t="s">
        <v>285</v>
      </c>
      <c r="C33" s="6" t="s">
        <v>273</v>
      </c>
      <c r="D33" s="5" t="s">
        <v>286</v>
      </c>
      <c r="E33" s="4" t="s">
        <v>287</v>
      </c>
      <c r="F33" s="4" t="s">
        <v>288</v>
      </c>
      <c r="G33" s="4">
        <v>79703</v>
      </c>
      <c r="H33" s="4">
        <v>4</v>
      </c>
      <c r="I33" s="5" t="s">
        <v>156</v>
      </c>
      <c r="J33" s="4" t="s">
        <v>279</v>
      </c>
      <c r="K33" s="4">
        <v>15</v>
      </c>
      <c r="L33" s="4">
        <v>0</v>
      </c>
      <c r="M33" s="4">
        <v>0</v>
      </c>
      <c r="N33" s="13">
        <v>6.1</v>
      </c>
    </row>
    <row r="34" spans="1:14" ht="20" customHeight="1">
      <c r="A34" s="4" t="s">
        <v>289</v>
      </c>
      <c r="B34" s="4" t="s">
        <v>290</v>
      </c>
      <c r="C34" s="6" t="s">
        <v>273</v>
      </c>
      <c r="D34" s="5" t="s">
        <v>291</v>
      </c>
      <c r="E34" s="4" t="s">
        <v>275</v>
      </c>
      <c r="F34" s="4" t="s">
        <v>292</v>
      </c>
      <c r="G34" s="4">
        <v>260044</v>
      </c>
      <c r="H34" s="4">
        <v>11</v>
      </c>
      <c r="I34" s="5" t="s">
        <v>221</v>
      </c>
      <c r="J34" s="4" t="s">
        <v>140</v>
      </c>
      <c r="K34" s="4">
        <v>90</v>
      </c>
      <c r="L34" s="12">
        <v>2</v>
      </c>
      <c r="M34" s="4">
        <v>0</v>
      </c>
      <c r="N34" s="13">
        <v>9</v>
      </c>
    </row>
    <row r="35" spans="1:14" ht="20" customHeight="1">
      <c r="A35" s="4" t="s">
        <v>289</v>
      </c>
      <c r="B35" s="4" t="s">
        <v>290</v>
      </c>
      <c r="C35" s="6" t="s">
        <v>273</v>
      </c>
      <c r="D35" s="5" t="s">
        <v>291</v>
      </c>
      <c r="E35" s="4" t="s">
        <v>275</v>
      </c>
      <c r="F35" s="4" t="s">
        <v>292</v>
      </c>
      <c r="G35" s="4">
        <v>276198</v>
      </c>
      <c r="H35" s="4">
        <v>25</v>
      </c>
      <c r="I35" s="5" t="s">
        <v>146</v>
      </c>
      <c r="J35" s="4" t="s">
        <v>149</v>
      </c>
      <c r="K35" s="4">
        <v>90</v>
      </c>
      <c r="L35" s="4">
        <v>0</v>
      </c>
      <c r="M35" s="4">
        <v>0</v>
      </c>
      <c r="N35" s="13">
        <v>7.6</v>
      </c>
    </row>
    <row r="36" spans="1:14" ht="20" customHeight="1">
      <c r="A36" s="4" t="s">
        <v>289</v>
      </c>
      <c r="B36" s="4" t="s">
        <v>290</v>
      </c>
      <c r="C36" s="6" t="s">
        <v>273</v>
      </c>
      <c r="D36" s="5" t="s">
        <v>291</v>
      </c>
      <c r="E36" s="4" t="s">
        <v>275</v>
      </c>
      <c r="F36" s="4" t="s">
        <v>292</v>
      </c>
      <c r="G36" s="4">
        <v>266100</v>
      </c>
      <c r="H36" s="4">
        <v>6</v>
      </c>
      <c r="I36" s="5" t="s">
        <v>81</v>
      </c>
      <c r="J36" s="4" t="s">
        <v>50</v>
      </c>
      <c r="K36" s="4">
        <v>90</v>
      </c>
      <c r="L36" s="12">
        <v>1</v>
      </c>
      <c r="M36" s="12" t="s">
        <v>277</v>
      </c>
      <c r="N36" s="13">
        <v>7.4</v>
      </c>
    </row>
    <row r="37" spans="1:14" ht="20" customHeight="1">
      <c r="A37" s="4" t="s">
        <v>289</v>
      </c>
      <c r="B37" s="4" t="s">
        <v>290</v>
      </c>
      <c r="C37" s="6" t="s">
        <v>273</v>
      </c>
      <c r="D37" s="5" t="s">
        <v>291</v>
      </c>
      <c r="E37" s="4" t="s">
        <v>275</v>
      </c>
      <c r="F37" s="4" t="s">
        <v>292</v>
      </c>
      <c r="G37" s="4">
        <v>247500</v>
      </c>
      <c r="H37" s="4">
        <v>12</v>
      </c>
      <c r="I37" s="5" t="s">
        <v>102</v>
      </c>
      <c r="J37" s="4" t="s">
        <v>74</v>
      </c>
      <c r="K37" s="4">
        <v>90</v>
      </c>
      <c r="L37" s="4">
        <v>0</v>
      </c>
      <c r="M37" s="4">
        <v>0</v>
      </c>
      <c r="N37" s="13">
        <v>6.4</v>
      </c>
    </row>
    <row r="38" spans="1:14" ht="20" customHeight="1">
      <c r="A38" s="4" t="s">
        <v>289</v>
      </c>
      <c r="B38" s="4" t="s">
        <v>290</v>
      </c>
      <c r="C38" s="6" t="s">
        <v>273</v>
      </c>
      <c r="D38" s="5" t="s">
        <v>291</v>
      </c>
      <c r="E38" s="4" t="s">
        <v>275</v>
      </c>
      <c r="F38" s="4" t="s">
        <v>292</v>
      </c>
      <c r="G38" s="4">
        <v>279881</v>
      </c>
      <c r="H38" s="4">
        <v>21</v>
      </c>
      <c r="I38" s="5" t="s">
        <v>130</v>
      </c>
      <c r="J38" s="4" t="s">
        <v>50</v>
      </c>
      <c r="K38" s="4">
        <v>45</v>
      </c>
      <c r="L38" s="4">
        <v>0</v>
      </c>
      <c r="M38" s="12" t="s">
        <v>277</v>
      </c>
      <c r="N38" s="13">
        <v>8.699999999999999</v>
      </c>
    </row>
    <row r="39" spans="1:14" ht="20" customHeight="1">
      <c r="A39" s="4" t="s">
        <v>289</v>
      </c>
      <c r="B39" s="4" t="s">
        <v>290</v>
      </c>
      <c r="C39" s="6" t="s">
        <v>273</v>
      </c>
      <c r="D39" s="5" t="s">
        <v>291</v>
      </c>
      <c r="E39" s="4" t="s">
        <v>275</v>
      </c>
      <c r="F39" s="4" t="s">
        <v>292</v>
      </c>
      <c r="G39" s="4">
        <v>279603</v>
      </c>
      <c r="H39" s="4">
        <v>15</v>
      </c>
      <c r="I39" s="5" t="s">
        <v>178</v>
      </c>
      <c r="J39" s="4" t="s">
        <v>63</v>
      </c>
      <c r="K39" s="4">
        <v>45</v>
      </c>
      <c r="L39" s="4">
        <v>0</v>
      </c>
      <c r="M39" s="12" t="s">
        <v>277</v>
      </c>
      <c r="N39" s="13">
        <v>8.199999999999999</v>
      </c>
    </row>
    <row r="40" spans="1:14" ht="20" customHeight="1">
      <c r="A40" s="4" t="s">
        <v>289</v>
      </c>
      <c r="B40" s="4" t="s">
        <v>290</v>
      </c>
      <c r="C40" s="6" t="s">
        <v>273</v>
      </c>
      <c r="D40" s="5" t="s">
        <v>291</v>
      </c>
      <c r="E40" s="4" t="s">
        <v>275</v>
      </c>
      <c r="F40" s="4" t="s">
        <v>292</v>
      </c>
      <c r="G40" s="4">
        <v>85904</v>
      </c>
      <c r="H40" s="4">
        <v>30</v>
      </c>
      <c r="I40" s="5" t="s">
        <v>249</v>
      </c>
      <c r="J40" s="4" t="s">
        <v>281</v>
      </c>
      <c r="K40" s="4">
        <v>45</v>
      </c>
      <c r="L40" s="4">
        <v>0</v>
      </c>
      <c r="M40" s="12" t="s">
        <v>277</v>
      </c>
      <c r="N40" s="13">
        <v>7.5</v>
      </c>
    </row>
    <row r="41" spans="1:14" ht="20" customHeight="1">
      <c r="A41" s="4" t="s">
        <v>289</v>
      </c>
      <c r="B41" s="4" t="s">
        <v>290</v>
      </c>
      <c r="C41" s="6" t="s">
        <v>273</v>
      </c>
      <c r="D41" s="5" t="s">
        <v>291</v>
      </c>
      <c r="E41" s="4" t="s">
        <v>275</v>
      </c>
      <c r="F41" s="4" t="s">
        <v>292</v>
      </c>
      <c r="G41" s="4">
        <v>263347</v>
      </c>
      <c r="H41" s="4">
        <v>24</v>
      </c>
      <c r="I41" s="5" t="s">
        <v>242</v>
      </c>
      <c r="J41" s="4" t="s">
        <v>293</v>
      </c>
      <c r="K41" s="4">
        <v>45</v>
      </c>
      <c r="L41" s="4">
        <v>0</v>
      </c>
      <c r="M41" s="4">
        <v>0</v>
      </c>
      <c r="N41" s="13">
        <v>7.3</v>
      </c>
    </row>
    <row r="42" spans="1:14" ht="20" customHeight="1">
      <c r="A42" s="4" t="s">
        <v>289</v>
      </c>
      <c r="B42" s="4" t="s">
        <v>290</v>
      </c>
      <c r="C42" s="6" t="s">
        <v>273</v>
      </c>
      <c r="D42" s="5" t="s">
        <v>291</v>
      </c>
      <c r="E42" s="4" t="s">
        <v>275</v>
      </c>
      <c r="F42" s="4" t="s">
        <v>292</v>
      </c>
      <c r="G42" s="4">
        <v>75437</v>
      </c>
      <c r="H42" s="4">
        <v>29</v>
      </c>
      <c r="I42" s="5" t="s">
        <v>200</v>
      </c>
      <c r="J42" s="4" t="s">
        <v>114</v>
      </c>
      <c r="K42" s="4">
        <v>45</v>
      </c>
      <c r="L42" s="4">
        <v>0</v>
      </c>
      <c r="M42" s="4">
        <v>0</v>
      </c>
      <c r="N42" s="13">
        <v>7.2</v>
      </c>
    </row>
    <row r="43" spans="1:14" ht="20" customHeight="1">
      <c r="A43" s="4" t="s">
        <v>289</v>
      </c>
      <c r="B43" s="4" t="s">
        <v>290</v>
      </c>
      <c r="C43" s="6" t="s">
        <v>273</v>
      </c>
      <c r="D43" s="5" t="s">
        <v>291</v>
      </c>
      <c r="E43" s="4" t="s">
        <v>275</v>
      </c>
      <c r="F43" s="4" t="s">
        <v>292</v>
      </c>
      <c r="G43" s="4">
        <v>277311</v>
      </c>
      <c r="H43" s="4">
        <v>10</v>
      </c>
      <c r="I43" s="5" t="s">
        <v>215</v>
      </c>
      <c r="J43" s="4" t="s">
        <v>50</v>
      </c>
      <c r="K43" s="4">
        <v>45</v>
      </c>
      <c r="L43" s="4">
        <v>0</v>
      </c>
      <c r="M43" s="4">
        <v>0</v>
      </c>
      <c r="N43" s="13">
        <v>7.1</v>
      </c>
    </row>
    <row r="44" spans="1:14" ht="20" customHeight="1">
      <c r="A44" s="4" t="s">
        <v>289</v>
      </c>
      <c r="B44" s="4" t="s">
        <v>290</v>
      </c>
      <c r="C44" s="6" t="s">
        <v>273</v>
      </c>
      <c r="D44" s="5" t="s">
        <v>291</v>
      </c>
      <c r="E44" s="4" t="s">
        <v>275</v>
      </c>
      <c r="F44" s="4" t="s">
        <v>292</v>
      </c>
      <c r="G44" s="4">
        <v>241505</v>
      </c>
      <c r="H44" s="4">
        <v>17</v>
      </c>
      <c r="I44" s="5" t="s">
        <v>184</v>
      </c>
      <c r="J44" s="4" t="s">
        <v>49</v>
      </c>
      <c r="K44" s="4">
        <v>45</v>
      </c>
      <c r="L44" s="4">
        <v>0</v>
      </c>
      <c r="M44" s="4">
        <v>0</v>
      </c>
      <c r="N44" s="13">
        <v>6.8</v>
      </c>
    </row>
    <row r="45" spans="1:14" ht="20" customHeight="1">
      <c r="A45" s="4" t="s">
        <v>289</v>
      </c>
      <c r="B45" s="4" t="s">
        <v>290</v>
      </c>
      <c r="C45" s="6" t="s">
        <v>273</v>
      </c>
      <c r="D45" s="5" t="s">
        <v>291</v>
      </c>
      <c r="E45" s="4" t="s">
        <v>275</v>
      </c>
      <c r="F45" s="4" t="s">
        <v>292</v>
      </c>
      <c r="G45" s="4">
        <v>263006</v>
      </c>
      <c r="H45" s="4">
        <v>19</v>
      </c>
      <c r="I45" s="5" t="s">
        <v>121</v>
      </c>
      <c r="J45" s="4" t="s">
        <v>125</v>
      </c>
      <c r="K45" s="4">
        <v>45</v>
      </c>
      <c r="L45" s="4">
        <v>0</v>
      </c>
      <c r="M45" s="4">
        <v>0</v>
      </c>
      <c r="N45" s="13">
        <v>6.8</v>
      </c>
    </row>
    <row r="46" spans="1:14" ht="20" customHeight="1">
      <c r="A46" s="4" t="s">
        <v>289</v>
      </c>
      <c r="B46" s="4" t="s">
        <v>290</v>
      </c>
      <c r="C46" s="6" t="s">
        <v>273</v>
      </c>
      <c r="D46" s="5" t="s">
        <v>291</v>
      </c>
      <c r="E46" s="4" t="s">
        <v>275</v>
      </c>
      <c r="F46" s="4" t="s">
        <v>292</v>
      </c>
      <c r="G46" s="4">
        <v>262498</v>
      </c>
      <c r="H46" s="4">
        <v>2</v>
      </c>
      <c r="I46" s="5" t="s">
        <v>44</v>
      </c>
      <c r="J46" s="4" t="s">
        <v>280</v>
      </c>
      <c r="K46" s="4">
        <v>45</v>
      </c>
      <c r="L46" s="4">
        <v>0</v>
      </c>
      <c r="M46" s="4">
        <v>0</v>
      </c>
      <c r="N46" s="13">
        <v>6.8</v>
      </c>
    </row>
    <row r="47" spans="1:14" ht="20" customHeight="1">
      <c r="A47" s="4" t="s">
        <v>289</v>
      </c>
      <c r="B47" s="4" t="s">
        <v>290</v>
      </c>
      <c r="C47" s="6" t="s">
        <v>273</v>
      </c>
      <c r="D47" s="5" t="s">
        <v>291</v>
      </c>
      <c r="E47" s="4" t="s">
        <v>275</v>
      </c>
      <c r="F47" s="4" t="s">
        <v>292</v>
      </c>
      <c r="G47" s="4">
        <v>79703</v>
      </c>
      <c r="H47" s="4">
        <v>4</v>
      </c>
      <c r="I47" s="5" t="s">
        <v>156</v>
      </c>
      <c r="J47" s="4" t="s">
        <v>279</v>
      </c>
      <c r="K47" s="4">
        <v>45</v>
      </c>
      <c r="L47" s="4">
        <v>0</v>
      </c>
      <c r="M47" s="4">
        <v>0</v>
      </c>
      <c r="N47" s="13">
        <v>6.5</v>
      </c>
    </row>
    <row r="48" spans="1:14" ht="20" customHeight="1">
      <c r="A48" s="4" t="s">
        <v>289</v>
      </c>
      <c r="B48" s="4" t="s">
        <v>290</v>
      </c>
      <c r="C48" s="6" t="s">
        <v>273</v>
      </c>
      <c r="D48" s="5" t="s">
        <v>291</v>
      </c>
      <c r="E48" s="4" t="s">
        <v>275</v>
      </c>
      <c r="F48" s="4" t="s">
        <v>292</v>
      </c>
      <c r="G48" s="4">
        <v>245704</v>
      </c>
      <c r="H48" s="4">
        <v>20</v>
      </c>
      <c r="I48" s="5" t="s">
        <v>192</v>
      </c>
      <c r="J48" s="4" t="s">
        <v>278</v>
      </c>
      <c r="K48" s="4">
        <v>45</v>
      </c>
      <c r="L48" s="4">
        <v>0</v>
      </c>
      <c r="M48" s="4">
        <v>0</v>
      </c>
      <c r="N48" s="13">
        <v>6.5</v>
      </c>
    </row>
    <row r="49" spans="1:14" ht="20" customHeight="1">
      <c r="A49" s="4" t="s">
        <v>289</v>
      </c>
      <c r="B49" s="4" t="s">
        <v>290</v>
      </c>
      <c r="C49" s="6" t="s">
        <v>273</v>
      </c>
      <c r="D49" s="5" t="s">
        <v>291</v>
      </c>
      <c r="E49" s="4" t="s">
        <v>275</v>
      </c>
      <c r="F49" s="4" t="s">
        <v>292</v>
      </c>
      <c r="G49" s="4">
        <v>271955</v>
      </c>
      <c r="H49" s="4">
        <v>5</v>
      </c>
      <c r="I49" s="5" t="s">
        <v>70</v>
      </c>
      <c r="J49" s="4" t="s">
        <v>74</v>
      </c>
      <c r="K49" s="4">
        <v>45</v>
      </c>
      <c r="L49" s="4">
        <v>0</v>
      </c>
      <c r="M49" s="4">
        <v>0</v>
      </c>
      <c r="N49" s="13">
        <v>6.1</v>
      </c>
    </row>
    <row r="50" spans="1:14" ht="20" customHeight="1">
      <c r="A50" s="4" t="s">
        <v>289</v>
      </c>
      <c r="B50" s="4" t="s">
        <v>290</v>
      </c>
      <c r="C50" s="6" t="s">
        <v>273</v>
      </c>
      <c r="D50" s="5" t="s">
        <v>291</v>
      </c>
      <c r="E50" s="4" t="s">
        <v>275</v>
      </c>
      <c r="F50" s="4" t="s">
        <v>292</v>
      </c>
      <c r="G50" s="4">
        <v>274828</v>
      </c>
      <c r="H50" s="4">
        <v>7</v>
      </c>
      <c r="I50" s="5" t="s">
        <v>207</v>
      </c>
      <c r="J50" s="4" t="s">
        <v>283</v>
      </c>
      <c r="K50" s="4">
        <v>45</v>
      </c>
      <c r="L50" s="4">
        <v>0</v>
      </c>
      <c r="M50" s="4">
        <v>0</v>
      </c>
      <c r="N50" s="13">
        <v>6.1</v>
      </c>
    </row>
    <row r="51" spans="1:14" ht="20" customHeight="1">
      <c r="A51" s="4" t="s">
        <v>289</v>
      </c>
      <c r="B51" s="4" t="s">
        <v>290</v>
      </c>
      <c r="C51" s="6" t="s">
        <v>273</v>
      </c>
      <c r="D51" s="5" t="s">
        <v>291</v>
      </c>
      <c r="E51" s="4" t="s">
        <v>275</v>
      </c>
      <c r="F51" s="4" t="s">
        <v>292</v>
      </c>
      <c r="G51" s="4">
        <v>273022</v>
      </c>
      <c r="H51" s="4">
        <v>3</v>
      </c>
      <c r="I51" s="5" t="s">
        <v>59</v>
      </c>
      <c r="J51" s="4" t="s">
        <v>294</v>
      </c>
      <c r="K51" s="4">
        <v>45</v>
      </c>
      <c r="L51" s="4">
        <v>0</v>
      </c>
      <c r="M51" s="4">
        <v>0</v>
      </c>
      <c r="N51" s="13">
        <v>5.8</v>
      </c>
    </row>
    <row r="52" spans="1:14" ht="20" customHeight="1">
      <c r="A52" s="4" t="s">
        <v>295</v>
      </c>
      <c r="B52" s="4" t="s">
        <v>296</v>
      </c>
      <c r="C52" s="6" t="s">
        <v>297</v>
      </c>
      <c r="D52" s="5" t="s">
        <v>298</v>
      </c>
      <c r="E52" s="4" t="s">
        <v>287</v>
      </c>
      <c r="F52" s="4" t="s">
        <v>288</v>
      </c>
      <c r="G52" s="4">
        <v>276198</v>
      </c>
      <c r="H52" s="4">
        <v>25</v>
      </c>
      <c r="I52" s="5" t="s">
        <v>146</v>
      </c>
      <c r="J52" s="4" t="s">
        <v>149</v>
      </c>
      <c r="K52" s="4">
        <v>90</v>
      </c>
      <c r="L52" s="4">
        <v>0</v>
      </c>
      <c r="M52" s="12" t="s">
        <v>277</v>
      </c>
      <c r="N52" s="13">
        <v>8</v>
      </c>
    </row>
    <row r="53" spans="1:14" ht="20" customHeight="1">
      <c r="A53" s="4" t="s">
        <v>295</v>
      </c>
      <c r="B53" s="4" t="s">
        <v>296</v>
      </c>
      <c r="C53" s="6" t="s">
        <v>297</v>
      </c>
      <c r="D53" s="5" t="s">
        <v>298</v>
      </c>
      <c r="E53" s="4" t="s">
        <v>287</v>
      </c>
      <c r="F53" s="4" t="s">
        <v>288</v>
      </c>
      <c r="G53" s="4">
        <v>271955</v>
      </c>
      <c r="H53" s="4">
        <v>5</v>
      </c>
      <c r="I53" s="5" t="s">
        <v>70</v>
      </c>
      <c r="J53" s="4" t="s">
        <v>74</v>
      </c>
      <c r="K53" s="4">
        <v>90</v>
      </c>
      <c r="L53" s="4">
        <v>0</v>
      </c>
      <c r="M53" s="12" t="s">
        <v>277</v>
      </c>
      <c r="N53" s="13">
        <v>7</v>
      </c>
    </row>
    <row r="54" spans="1:14" ht="20" customHeight="1">
      <c r="A54" s="4" t="s">
        <v>295</v>
      </c>
      <c r="B54" s="4" t="s">
        <v>296</v>
      </c>
      <c r="C54" s="6" t="s">
        <v>297</v>
      </c>
      <c r="D54" s="5" t="s">
        <v>298</v>
      </c>
      <c r="E54" s="4" t="s">
        <v>287</v>
      </c>
      <c r="F54" s="4" t="s">
        <v>288</v>
      </c>
      <c r="G54" s="4">
        <v>263006</v>
      </c>
      <c r="H54" s="4">
        <v>19</v>
      </c>
      <c r="I54" s="5" t="s">
        <v>121</v>
      </c>
      <c r="J54" s="4" t="s">
        <v>125</v>
      </c>
      <c r="K54" s="4">
        <v>90</v>
      </c>
      <c r="L54" s="4">
        <v>0</v>
      </c>
      <c r="M54" s="12" t="s">
        <v>277</v>
      </c>
      <c r="N54" s="13">
        <v>7</v>
      </c>
    </row>
    <row r="55" spans="1:14" ht="20" customHeight="1">
      <c r="A55" s="4" t="s">
        <v>295</v>
      </c>
      <c r="B55" s="4" t="s">
        <v>296</v>
      </c>
      <c r="C55" s="6" t="s">
        <v>297</v>
      </c>
      <c r="D55" s="5" t="s">
        <v>298</v>
      </c>
      <c r="E55" s="4" t="s">
        <v>287</v>
      </c>
      <c r="F55" s="4" t="s">
        <v>288</v>
      </c>
      <c r="G55" s="4">
        <v>266100</v>
      </c>
      <c r="H55" s="4">
        <v>6</v>
      </c>
      <c r="I55" s="5" t="s">
        <v>81</v>
      </c>
      <c r="J55" s="4" t="s">
        <v>50</v>
      </c>
      <c r="K55" s="4">
        <v>90</v>
      </c>
      <c r="L55" s="4">
        <v>0</v>
      </c>
      <c r="M55" s="12" t="s">
        <v>277</v>
      </c>
      <c r="N55" s="13">
        <v>7</v>
      </c>
    </row>
    <row r="56" spans="1:14" ht="20" customHeight="1">
      <c r="A56" s="4" t="s">
        <v>295</v>
      </c>
      <c r="B56" s="4" t="s">
        <v>296</v>
      </c>
      <c r="C56" s="6" t="s">
        <v>297</v>
      </c>
      <c r="D56" s="5" t="s">
        <v>298</v>
      </c>
      <c r="E56" s="4" t="s">
        <v>287</v>
      </c>
      <c r="F56" s="4" t="s">
        <v>288</v>
      </c>
      <c r="G56" s="4">
        <v>247500</v>
      </c>
      <c r="H56" s="4">
        <v>12</v>
      </c>
      <c r="I56" s="5" t="s">
        <v>102</v>
      </c>
      <c r="J56" s="4" t="s">
        <v>74</v>
      </c>
      <c r="K56" s="4">
        <v>90</v>
      </c>
      <c r="L56" s="4">
        <v>0</v>
      </c>
      <c r="M56" s="12" t="s">
        <v>277</v>
      </c>
      <c r="N56" s="13">
        <v>7</v>
      </c>
    </row>
    <row r="57" spans="1:14" ht="20" customHeight="1">
      <c r="A57" s="4" t="s">
        <v>295</v>
      </c>
      <c r="B57" s="4" t="s">
        <v>296</v>
      </c>
      <c r="C57" s="6" t="s">
        <v>297</v>
      </c>
      <c r="D57" s="5" t="s">
        <v>298</v>
      </c>
      <c r="E57" s="4" t="s">
        <v>287</v>
      </c>
      <c r="F57" s="4" t="s">
        <v>288</v>
      </c>
      <c r="G57" s="4">
        <v>245704</v>
      </c>
      <c r="H57" s="4">
        <v>20</v>
      </c>
      <c r="I57" s="5" t="s">
        <v>192</v>
      </c>
      <c r="J57" s="4" t="s">
        <v>125</v>
      </c>
      <c r="K57" s="4">
        <v>90</v>
      </c>
      <c r="L57" s="4">
        <v>0</v>
      </c>
      <c r="M57" s="12" t="s">
        <v>277</v>
      </c>
      <c r="N57" s="13">
        <v>6</v>
      </c>
    </row>
    <row r="58" spans="1:14" ht="20" customHeight="1">
      <c r="A58" s="4" t="s">
        <v>295</v>
      </c>
      <c r="B58" s="4" t="s">
        <v>296</v>
      </c>
      <c r="C58" s="6" t="s">
        <v>297</v>
      </c>
      <c r="D58" s="5" t="s">
        <v>298</v>
      </c>
      <c r="E58" s="4" t="s">
        <v>287</v>
      </c>
      <c r="F58" s="4" t="s">
        <v>288</v>
      </c>
      <c r="G58" s="4">
        <v>279881</v>
      </c>
      <c r="H58" s="4">
        <v>21</v>
      </c>
      <c r="I58" s="5" t="s">
        <v>130</v>
      </c>
      <c r="J58" s="4" t="s">
        <v>50</v>
      </c>
      <c r="K58" s="4">
        <v>60</v>
      </c>
      <c r="L58" s="4">
        <v>0</v>
      </c>
      <c r="M58" s="12" t="s">
        <v>277</v>
      </c>
      <c r="N58" s="13">
        <v>10</v>
      </c>
    </row>
    <row r="59" spans="1:14" ht="20" customHeight="1">
      <c r="A59" s="4" t="s">
        <v>295</v>
      </c>
      <c r="B59" s="4" t="s">
        <v>296</v>
      </c>
      <c r="C59" s="6" t="s">
        <v>297</v>
      </c>
      <c r="D59" s="5" t="s">
        <v>298</v>
      </c>
      <c r="E59" s="4" t="s">
        <v>287</v>
      </c>
      <c r="F59" s="4" t="s">
        <v>288</v>
      </c>
      <c r="G59" s="4">
        <v>75437</v>
      </c>
      <c r="H59" s="4">
        <v>29</v>
      </c>
      <c r="I59" s="5" t="s">
        <v>200</v>
      </c>
      <c r="J59" s="4" t="s">
        <v>114</v>
      </c>
      <c r="K59" s="4">
        <v>60</v>
      </c>
      <c r="L59" s="12">
        <v>1</v>
      </c>
      <c r="M59" s="12" t="s">
        <v>277</v>
      </c>
      <c r="N59" s="13">
        <v>7</v>
      </c>
    </row>
    <row r="60" spans="1:14" ht="20" customHeight="1">
      <c r="A60" s="4" t="s">
        <v>295</v>
      </c>
      <c r="B60" s="4" t="s">
        <v>296</v>
      </c>
      <c r="C60" s="6" t="s">
        <v>297</v>
      </c>
      <c r="D60" s="5" t="s">
        <v>298</v>
      </c>
      <c r="E60" s="4" t="s">
        <v>287</v>
      </c>
      <c r="F60" s="4" t="s">
        <v>288</v>
      </c>
      <c r="G60" s="4">
        <v>275520</v>
      </c>
      <c r="H60" s="4">
        <v>8</v>
      </c>
      <c r="I60" s="5" t="s">
        <v>91</v>
      </c>
      <c r="J60" s="4" t="s">
        <v>50</v>
      </c>
      <c r="K60" s="4">
        <v>60</v>
      </c>
      <c r="L60" s="4">
        <v>0</v>
      </c>
      <c r="M60" s="12" t="s">
        <v>277</v>
      </c>
      <c r="N60" s="13">
        <v>6</v>
      </c>
    </row>
    <row r="61" spans="1:14" ht="20" customHeight="1">
      <c r="A61" s="4" t="s">
        <v>295</v>
      </c>
      <c r="B61" s="4" t="s">
        <v>296</v>
      </c>
      <c r="C61" s="6" t="s">
        <v>297</v>
      </c>
      <c r="D61" s="5" t="s">
        <v>298</v>
      </c>
      <c r="E61" s="4" t="s">
        <v>287</v>
      </c>
      <c r="F61" s="4" t="s">
        <v>288</v>
      </c>
      <c r="G61" s="4">
        <v>260044</v>
      </c>
      <c r="H61" s="4">
        <v>11</v>
      </c>
      <c r="I61" s="5" t="s">
        <v>221</v>
      </c>
      <c r="J61" s="4" t="s">
        <v>140</v>
      </c>
      <c r="K61" s="4">
        <v>60</v>
      </c>
      <c r="L61" s="4">
        <v>0</v>
      </c>
      <c r="M61" s="12" t="s">
        <v>277</v>
      </c>
      <c r="N61" s="13">
        <v>6</v>
      </c>
    </row>
    <row r="62" spans="1:14" ht="20" customHeight="1">
      <c r="A62" s="4" t="s">
        <v>295</v>
      </c>
      <c r="B62" s="4" t="s">
        <v>296</v>
      </c>
      <c r="C62" s="6" t="s">
        <v>297</v>
      </c>
      <c r="D62" s="5" t="s">
        <v>298</v>
      </c>
      <c r="E62" s="4" t="s">
        <v>287</v>
      </c>
      <c r="F62" s="4" t="s">
        <v>288</v>
      </c>
      <c r="G62" s="4">
        <v>263347</v>
      </c>
      <c r="H62" s="4">
        <v>24</v>
      </c>
      <c r="I62" s="5" t="s">
        <v>242</v>
      </c>
      <c r="J62" s="4" t="s">
        <v>244</v>
      </c>
      <c r="K62" s="4">
        <v>60</v>
      </c>
      <c r="L62" s="4">
        <v>0</v>
      </c>
      <c r="M62" s="12" t="s">
        <v>277</v>
      </c>
      <c r="N62" s="13">
        <v>6</v>
      </c>
    </row>
    <row r="63" spans="1:14" ht="20" customHeight="1">
      <c r="A63" s="4" t="s">
        <v>295</v>
      </c>
      <c r="B63" s="4" t="s">
        <v>296</v>
      </c>
      <c r="C63" s="6" t="s">
        <v>297</v>
      </c>
      <c r="D63" s="5" t="s">
        <v>298</v>
      </c>
      <c r="E63" s="4" t="s">
        <v>287</v>
      </c>
      <c r="F63" s="4" t="s">
        <v>288</v>
      </c>
      <c r="G63" s="4">
        <v>273022</v>
      </c>
      <c r="H63" s="4">
        <v>3</v>
      </c>
      <c r="I63" s="5" t="s">
        <v>59</v>
      </c>
      <c r="J63" s="4" t="s">
        <v>294</v>
      </c>
      <c r="K63" s="4">
        <v>30</v>
      </c>
      <c r="L63" s="4">
        <v>0</v>
      </c>
      <c r="M63" s="12" t="s">
        <v>277</v>
      </c>
      <c r="N63" s="13">
        <v>8</v>
      </c>
    </row>
    <row r="64" spans="1:14" ht="20" customHeight="1">
      <c r="A64" s="4" t="s">
        <v>295</v>
      </c>
      <c r="B64" s="4" t="s">
        <v>296</v>
      </c>
      <c r="C64" s="6" t="s">
        <v>297</v>
      </c>
      <c r="D64" s="5" t="s">
        <v>298</v>
      </c>
      <c r="E64" s="4" t="s">
        <v>287</v>
      </c>
      <c r="F64" s="4" t="s">
        <v>288</v>
      </c>
      <c r="G64" s="4">
        <v>278758</v>
      </c>
      <c r="H64" s="4">
        <v>16</v>
      </c>
      <c r="I64" s="5" t="s">
        <v>109</v>
      </c>
      <c r="J64" s="4" t="s">
        <v>282</v>
      </c>
      <c r="K64" s="4">
        <v>30</v>
      </c>
      <c r="L64" s="4">
        <v>0</v>
      </c>
      <c r="M64" s="12" t="s">
        <v>277</v>
      </c>
      <c r="N64" s="13">
        <v>7</v>
      </c>
    </row>
    <row r="65" spans="1:14" ht="20" customHeight="1">
      <c r="A65" s="4" t="s">
        <v>295</v>
      </c>
      <c r="B65" s="4" t="s">
        <v>296</v>
      </c>
      <c r="C65" s="6" t="s">
        <v>297</v>
      </c>
      <c r="D65" s="5" t="s">
        <v>298</v>
      </c>
      <c r="E65" s="4" t="s">
        <v>287</v>
      </c>
      <c r="F65" s="4" t="s">
        <v>288</v>
      </c>
      <c r="G65" s="4">
        <v>236393</v>
      </c>
      <c r="H65" s="4">
        <v>22</v>
      </c>
      <c r="I65" s="5" t="s">
        <v>137</v>
      </c>
      <c r="J65" s="4" t="s">
        <v>299</v>
      </c>
      <c r="K65" s="4">
        <v>30</v>
      </c>
      <c r="L65" s="12">
        <v>1</v>
      </c>
      <c r="M65" s="12" t="s">
        <v>277</v>
      </c>
      <c r="N65" s="13">
        <v>7</v>
      </c>
    </row>
    <row r="66" spans="1:14" ht="20" customHeight="1">
      <c r="A66" s="4" t="s">
        <v>295</v>
      </c>
      <c r="B66" s="4" t="s">
        <v>296</v>
      </c>
      <c r="C66" s="6" t="s">
        <v>297</v>
      </c>
      <c r="D66" s="5" t="s">
        <v>298</v>
      </c>
      <c r="E66" s="4" t="s">
        <v>287</v>
      </c>
      <c r="F66" s="4" t="s">
        <v>288</v>
      </c>
      <c r="G66" s="4">
        <v>277311</v>
      </c>
      <c r="H66" s="4">
        <v>10</v>
      </c>
      <c r="I66" s="5" t="s">
        <v>215</v>
      </c>
      <c r="J66" s="4" t="s">
        <v>281</v>
      </c>
      <c r="K66" s="4">
        <v>30</v>
      </c>
      <c r="L66" s="4">
        <v>0</v>
      </c>
      <c r="M66" s="12" t="s">
        <v>277</v>
      </c>
      <c r="N66" s="13">
        <v>6</v>
      </c>
    </row>
    <row r="67" spans="1:14" ht="20" customHeight="1">
      <c r="A67" s="4" t="s">
        <v>295</v>
      </c>
      <c r="B67" s="4" t="s">
        <v>296</v>
      </c>
      <c r="C67" s="6" t="s">
        <v>297</v>
      </c>
      <c r="D67" s="5" t="s">
        <v>298</v>
      </c>
      <c r="E67" s="4" t="s">
        <v>287</v>
      </c>
      <c r="F67" s="4" t="s">
        <v>288</v>
      </c>
      <c r="G67" s="4">
        <v>79752</v>
      </c>
      <c r="H67" s="4">
        <v>18</v>
      </c>
      <c r="I67" s="5" t="s">
        <v>229</v>
      </c>
      <c r="J67" s="4" t="s">
        <v>281</v>
      </c>
      <c r="K67" s="4">
        <v>30</v>
      </c>
      <c r="L67" s="4">
        <v>0</v>
      </c>
      <c r="M67" s="12" t="s">
        <v>277</v>
      </c>
      <c r="N67" s="13">
        <v>6</v>
      </c>
    </row>
    <row r="68" spans="1:14" ht="20" customHeight="1">
      <c r="A68" s="4" t="s">
        <v>300</v>
      </c>
      <c r="B68" s="4" t="s">
        <v>301</v>
      </c>
      <c r="C68" s="6" t="s">
        <v>297</v>
      </c>
      <c r="D68" s="5" t="s">
        <v>302</v>
      </c>
      <c r="E68" s="4" t="s">
        <v>287</v>
      </c>
      <c r="F68" s="4" t="s">
        <v>303</v>
      </c>
      <c r="G68" s="4">
        <v>273022</v>
      </c>
      <c r="H68" s="4">
        <v>3</v>
      </c>
      <c r="I68" s="5" t="s">
        <v>59</v>
      </c>
      <c r="J68" s="4" t="s">
        <v>62</v>
      </c>
      <c r="K68" s="4">
        <v>90</v>
      </c>
      <c r="L68" s="12">
        <v>2</v>
      </c>
      <c r="M68" s="12" t="s">
        <v>277</v>
      </c>
      <c r="N68" s="13">
        <v>10</v>
      </c>
    </row>
    <row r="69" spans="1:14" ht="20" customHeight="1">
      <c r="A69" s="4" t="s">
        <v>300</v>
      </c>
      <c r="B69" s="4" t="s">
        <v>301</v>
      </c>
      <c r="C69" s="6" t="s">
        <v>297</v>
      </c>
      <c r="D69" s="5" t="s">
        <v>302</v>
      </c>
      <c r="E69" s="4" t="s">
        <v>287</v>
      </c>
      <c r="F69" s="4" t="s">
        <v>303</v>
      </c>
      <c r="G69" s="4">
        <v>236393</v>
      </c>
      <c r="H69" s="4">
        <v>22</v>
      </c>
      <c r="I69" s="5" t="s">
        <v>137</v>
      </c>
      <c r="J69" s="4" t="s">
        <v>140</v>
      </c>
      <c r="K69" s="4">
        <v>90</v>
      </c>
      <c r="L69" s="12">
        <v>3</v>
      </c>
      <c r="M69" s="12" t="s">
        <v>277</v>
      </c>
      <c r="N69" s="13">
        <v>10</v>
      </c>
    </row>
    <row r="70" spans="1:14" ht="20" customHeight="1">
      <c r="A70" s="4" t="s">
        <v>300</v>
      </c>
      <c r="B70" s="4" t="s">
        <v>301</v>
      </c>
      <c r="C70" s="6" t="s">
        <v>297</v>
      </c>
      <c r="D70" s="5" t="s">
        <v>302</v>
      </c>
      <c r="E70" s="4" t="s">
        <v>287</v>
      </c>
      <c r="F70" s="4" t="s">
        <v>303</v>
      </c>
      <c r="G70" s="4">
        <v>279881</v>
      </c>
      <c r="H70" s="4">
        <v>21</v>
      </c>
      <c r="I70" s="5" t="s">
        <v>130</v>
      </c>
      <c r="J70" s="4" t="s">
        <v>50</v>
      </c>
      <c r="K70" s="4">
        <v>90</v>
      </c>
      <c r="L70" s="4">
        <v>0</v>
      </c>
      <c r="M70" s="12" t="s">
        <v>277</v>
      </c>
      <c r="N70" s="13">
        <v>10</v>
      </c>
    </row>
    <row r="71" spans="1:14" ht="20" customHeight="1">
      <c r="A71" s="4" t="s">
        <v>300</v>
      </c>
      <c r="B71" s="4" t="s">
        <v>301</v>
      </c>
      <c r="C71" s="6" t="s">
        <v>297</v>
      </c>
      <c r="D71" s="5" t="s">
        <v>302</v>
      </c>
      <c r="E71" s="4" t="s">
        <v>287</v>
      </c>
      <c r="F71" s="4" t="s">
        <v>303</v>
      </c>
      <c r="G71" s="4">
        <v>228707</v>
      </c>
      <c r="H71" s="4">
        <v>23</v>
      </c>
      <c r="I71" s="5" t="s">
        <v>235</v>
      </c>
      <c r="J71" s="4" t="s">
        <v>74</v>
      </c>
      <c r="K71" s="4">
        <v>90</v>
      </c>
      <c r="L71" s="4">
        <v>0</v>
      </c>
      <c r="M71" s="12" t="s">
        <v>277</v>
      </c>
      <c r="N71" s="13">
        <v>9</v>
      </c>
    </row>
    <row r="72" spans="1:14" ht="20" customHeight="1">
      <c r="A72" s="4" t="s">
        <v>300</v>
      </c>
      <c r="B72" s="4" t="s">
        <v>301</v>
      </c>
      <c r="C72" s="6" t="s">
        <v>297</v>
      </c>
      <c r="D72" s="5" t="s">
        <v>302</v>
      </c>
      <c r="E72" s="4" t="s">
        <v>287</v>
      </c>
      <c r="F72" s="4" t="s">
        <v>303</v>
      </c>
      <c r="G72" s="4">
        <v>230134</v>
      </c>
      <c r="H72" s="4">
        <v>14</v>
      </c>
      <c r="I72" s="5" t="s">
        <v>171</v>
      </c>
      <c r="J72" s="4" t="s">
        <v>50</v>
      </c>
      <c r="K72" s="4">
        <v>90</v>
      </c>
      <c r="L72" s="4">
        <v>0</v>
      </c>
      <c r="M72" s="12" t="s">
        <v>277</v>
      </c>
      <c r="N72" s="13">
        <v>8</v>
      </c>
    </row>
    <row r="73" spans="1:14" ht="20" customHeight="1">
      <c r="A73" s="4" t="s">
        <v>300</v>
      </c>
      <c r="B73" s="4" t="s">
        <v>301</v>
      </c>
      <c r="C73" s="6" t="s">
        <v>297</v>
      </c>
      <c r="D73" s="5" t="s">
        <v>302</v>
      </c>
      <c r="E73" s="4" t="s">
        <v>287</v>
      </c>
      <c r="F73" s="4" t="s">
        <v>303</v>
      </c>
      <c r="G73" s="4">
        <v>266100</v>
      </c>
      <c r="H73" s="4">
        <v>6</v>
      </c>
      <c r="I73" s="5" t="s">
        <v>81</v>
      </c>
      <c r="J73" s="4" t="s">
        <v>50</v>
      </c>
      <c r="K73" s="4">
        <v>90</v>
      </c>
      <c r="L73" s="4">
        <v>0</v>
      </c>
      <c r="M73" s="12" t="s">
        <v>277</v>
      </c>
      <c r="N73" s="13">
        <v>8</v>
      </c>
    </row>
    <row r="74" spans="1:14" ht="20" customHeight="1">
      <c r="A74" s="4" t="s">
        <v>300</v>
      </c>
      <c r="B74" s="4" t="s">
        <v>301</v>
      </c>
      <c r="C74" s="6" t="s">
        <v>297</v>
      </c>
      <c r="D74" s="5" t="s">
        <v>302</v>
      </c>
      <c r="E74" s="4" t="s">
        <v>287</v>
      </c>
      <c r="F74" s="4" t="s">
        <v>303</v>
      </c>
      <c r="G74" s="4">
        <v>278758</v>
      </c>
      <c r="H74" s="4">
        <v>16</v>
      </c>
      <c r="I74" s="5" t="s">
        <v>109</v>
      </c>
      <c r="J74" s="4" t="s">
        <v>113</v>
      </c>
      <c r="K74" s="4">
        <v>90</v>
      </c>
      <c r="L74" s="4">
        <v>0</v>
      </c>
      <c r="M74" s="12" t="s">
        <v>277</v>
      </c>
      <c r="N74" s="13">
        <v>8</v>
      </c>
    </row>
    <row r="75" spans="1:14" ht="20" customHeight="1">
      <c r="A75" s="4" t="s">
        <v>300</v>
      </c>
      <c r="B75" s="4" t="s">
        <v>301</v>
      </c>
      <c r="C75" s="6" t="s">
        <v>297</v>
      </c>
      <c r="D75" s="5" t="s">
        <v>302</v>
      </c>
      <c r="E75" s="4" t="s">
        <v>287</v>
      </c>
      <c r="F75" s="4" t="s">
        <v>303</v>
      </c>
      <c r="G75" s="4">
        <v>247500</v>
      </c>
      <c r="H75" s="4">
        <v>12</v>
      </c>
      <c r="I75" s="5" t="s">
        <v>102</v>
      </c>
      <c r="J75" s="4" t="s">
        <v>74</v>
      </c>
      <c r="K75" s="4">
        <v>90</v>
      </c>
      <c r="L75" s="4">
        <v>0</v>
      </c>
      <c r="M75" s="12" t="s">
        <v>277</v>
      </c>
      <c r="N75" s="13">
        <v>8</v>
      </c>
    </row>
    <row r="76" spans="1:14" ht="20" customHeight="1">
      <c r="A76" s="4" t="s">
        <v>300</v>
      </c>
      <c r="B76" s="4" t="s">
        <v>301</v>
      </c>
      <c r="C76" s="6" t="s">
        <v>297</v>
      </c>
      <c r="D76" s="5" t="s">
        <v>302</v>
      </c>
      <c r="E76" s="4" t="s">
        <v>287</v>
      </c>
      <c r="F76" s="4" t="s">
        <v>303</v>
      </c>
      <c r="G76" s="4">
        <v>245704</v>
      </c>
      <c r="H76" s="4">
        <v>20</v>
      </c>
      <c r="I76" s="5" t="s">
        <v>192</v>
      </c>
      <c r="J76" s="4" t="s">
        <v>125</v>
      </c>
      <c r="K76" s="4">
        <v>90</v>
      </c>
      <c r="L76" s="4">
        <v>0</v>
      </c>
      <c r="M76" s="12" t="s">
        <v>277</v>
      </c>
      <c r="N76" s="13">
        <v>8</v>
      </c>
    </row>
    <row r="77" spans="1:14" ht="20" customHeight="1">
      <c r="A77" s="4" t="s">
        <v>300</v>
      </c>
      <c r="B77" s="4" t="s">
        <v>301</v>
      </c>
      <c r="C77" s="6" t="s">
        <v>297</v>
      </c>
      <c r="D77" s="5" t="s">
        <v>302</v>
      </c>
      <c r="E77" s="4" t="s">
        <v>287</v>
      </c>
      <c r="F77" s="4" t="s">
        <v>303</v>
      </c>
      <c r="G77" s="4">
        <v>262498</v>
      </c>
      <c r="H77" s="4">
        <v>2</v>
      </c>
      <c r="I77" s="5" t="s">
        <v>44</v>
      </c>
      <c r="J77" s="4" t="s">
        <v>49</v>
      </c>
      <c r="K77" s="4">
        <v>90</v>
      </c>
      <c r="L77" s="4">
        <v>0</v>
      </c>
      <c r="M77" s="12" t="s">
        <v>277</v>
      </c>
      <c r="N77" s="13">
        <v>8</v>
      </c>
    </row>
    <row r="78" spans="1:14" ht="20" customHeight="1">
      <c r="A78" s="4" t="s">
        <v>300</v>
      </c>
      <c r="B78" s="4" t="s">
        <v>301</v>
      </c>
      <c r="C78" s="6" t="s">
        <v>297</v>
      </c>
      <c r="D78" s="5" t="s">
        <v>302</v>
      </c>
      <c r="E78" s="4" t="s">
        <v>287</v>
      </c>
      <c r="F78" s="4" t="s">
        <v>303</v>
      </c>
      <c r="G78" s="4">
        <v>276198</v>
      </c>
      <c r="H78" s="4">
        <v>25</v>
      </c>
      <c r="I78" s="5" t="s">
        <v>146</v>
      </c>
      <c r="J78" s="4" t="s">
        <v>149</v>
      </c>
      <c r="K78" s="4">
        <v>90</v>
      </c>
      <c r="L78" s="4">
        <v>0</v>
      </c>
      <c r="M78" s="12" t="s">
        <v>277</v>
      </c>
      <c r="N78" s="13">
        <v>6</v>
      </c>
    </row>
    <row r="79" spans="1:14" ht="20" customHeight="1">
      <c r="A79" s="4" t="s">
        <v>304</v>
      </c>
      <c r="B79" s="4" t="s">
        <v>305</v>
      </c>
      <c r="C79" s="6" t="s">
        <v>297</v>
      </c>
      <c r="D79" s="5" t="s">
        <v>306</v>
      </c>
      <c r="E79" s="4" t="s">
        <v>275</v>
      </c>
      <c r="F79" s="4" t="s">
        <v>276</v>
      </c>
      <c r="G79" s="4">
        <v>275520</v>
      </c>
      <c r="H79" s="4">
        <v>8</v>
      </c>
      <c r="I79" s="5" t="s">
        <v>91</v>
      </c>
      <c r="J79" s="4" t="s">
        <v>50</v>
      </c>
      <c r="K79" s="4">
        <v>90</v>
      </c>
      <c r="L79" s="12">
        <v>1</v>
      </c>
      <c r="M79" s="12" t="s">
        <v>277</v>
      </c>
      <c r="N79" s="13">
        <v>7</v>
      </c>
    </row>
    <row r="80" spans="1:14" ht="20" customHeight="1">
      <c r="A80" s="4" t="s">
        <v>304</v>
      </c>
      <c r="B80" s="4" t="s">
        <v>305</v>
      </c>
      <c r="C80" s="6" t="s">
        <v>297</v>
      </c>
      <c r="D80" s="5" t="s">
        <v>306</v>
      </c>
      <c r="E80" s="4" t="s">
        <v>275</v>
      </c>
      <c r="F80" s="4" t="s">
        <v>276</v>
      </c>
      <c r="G80" s="4">
        <v>271955</v>
      </c>
      <c r="H80" s="4">
        <v>5</v>
      </c>
      <c r="I80" s="5" t="s">
        <v>70</v>
      </c>
      <c r="J80" s="4" t="s">
        <v>74</v>
      </c>
      <c r="K80" s="4">
        <v>90</v>
      </c>
      <c r="L80" s="4">
        <v>0</v>
      </c>
      <c r="M80" s="12" t="s">
        <v>277</v>
      </c>
      <c r="N80" s="13">
        <v>7</v>
      </c>
    </row>
    <row r="81" spans="1:14" ht="20" customHeight="1">
      <c r="A81" s="4" t="s">
        <v>304</v>
      </c>
      <c r="B81" s="4" t="s">
        <v>305</v>
      </c>
      <c r="C81" s="6" t="s">
        <v>297</v>
      </c>
      <c r="D81" s="5" t="s">
        <v>306</v>
      </c>
      <c r="E81" s="4" t="s">
        <v>275</v>
      </c>
      <c r="F81" s="4" t="s">
        <v>276</v>
      </c>
      <c r="G81" s="4">
        <v>247500</v>
      </c>
      <c r="H81" s="4">
        <v>12</v>
      </c>
      <c r="I81" s="5" t="s">
        <v>102</v>
      </c>
      <c r="J81" s="4" t="s">
        <v>74</v>
      </c>
      <c r="K81" s="4">
        <v>90</v>
      </c>
      <c r="L81" s="4">
        <v>0</v>
      </c>
      <c r="M81" s="12" t="s">
        <v>277</v>
      </c>
      <c r="N81" s="13">
        <v>7</v>
      </c>
    </row>
    <row r="82" spans="1:14" ht="20" customHeight="1">
      <c r="A82" s="4" t="s">
        <v>304</v>
      </c>
      <c r="B82" s="4" t="s">
        <v>305</v>
      </c>
      <c r="C82" s="6" t="s">
        <v>297</v>
      </c>
      <c r="D82" s="5" t="s">
        <v>306</v>
      </c>
      <c r="E82" s="4" t="s">
        <v>275</v>
      </c>
      <c r="F82" s="4" t="s">
        <v>276</v>
      </c>
      <c r="G82" s="4">
        <v>279881</v>
      </c>
      <c r="H82" s="4">
        <v>21</v>
      </c>
      <c r="I82" s="5" t="s">
        <v>130</v>
      </c>
      <c r="J82" s="4" t="s">
        <v>50</v>
      </c>
      <c r="K82" s="4">
        <v>90</v>
      </c>
      <c r="L82" s="4">
        <v>0</v>
      </c>
      <c r="M82" s="12" t="s">
        <v>277</v>
      </c>
      <c r="N82" s="13">
        <v>7</v>
      </c>
    </row>
    <row r="83" spans="1:14" ht="20" customHeight="1">
      <c r="A83" s="4" t="s">
        <v>304</v>
      </c>
      <c r="B83" s="4" t="s">
        <v>305</v>
      </c>
      <c r="C83" s="6" t="s">
        <v>297</v>
      </c>
      <c r="D83" s="5" t="s">
        <v>306</v>
      </c>
      <c r="E83" s="4" t="s">
        <v>275</v>
      </c>
      <c r="F83" s="4" t="s">
        <v>276</v>
      </c>
      <c r="G83" s="4">
        <v>279603</v>
      </c>
      <c r="H83" s="4">
        <v>15</v>
      </c>
      <c r="I83" s="5" t="s">
        <v>178</v>
      </c>
      <c r="J83" s="4" t="s">
        <v>63</v>
      </c>
      <c r="K83" s="4">
        <v>90</v>
      </c>
      <c r="L83" s="4">
        <v>0</v>
      </c>
      <c r="M83" s="12" t="s">
        <v>277</v>
      </c>
      <c r="N83" s="13">
        <v>6</v>
      </c>
    </row>
    <row r="84" spans="1:14" ht="20" customHeight="1">
      <c r="A84" s="4" t="s">
        <v>304</v>
      </c>
      <c r="B84" s="4" t="s">
        <v>305</v>
      </c>
      <c r="C84" s="6" t="s">
        <v>297</v>
      </c>
      <c r="D84" s="5" t="s">
        <v>306</v>
      </c>
      <c r="E84" s="4" t="s">
        <v>275</v>
      </c>
      <c r="F84" s="4" t="s">
        <v>276</v>
      </c>
      <c r="G84" s="4">
        <v>265405</v>
      </c>
      <c r="H84" s="4">
        <v>13</v>
      </c>
      <c r="I84" s="5" t="s">
        <v>164</v>
      </c>
      <c r="J84" s="4" t="s">
        <v>149</v>
      </c>
      <c r="K84" s="4">
        <v>90</v>
      </c>
      <c r="L84" s="4">
        <v>0</v>
      </c>
      <c r="M84" s="12" t="s">
        <v>277</v>
      </c>
      <c r="N84" s="13">
        <v>6</v>
      </c>
    </row>
    <row r="85" spans="1:14" ht="20" customHeight="1">
      <c r="A85" s="4" t="s">
        <v>304</v>
      </c>
      <c r="B85" s="4" t="s">
        <v>305</v>
      </c>
      <c r="C85" s="6" t="s">
        <v>297</v>
      </c>
      <c r="D85" s="5" t="s">
        <v>306</v>
      </c>
      <c r="E85" s="4" t="s">
        <v>275</v>
      </c>
      <c r="F85" s="4" t="s">
        <v>276</v>
      </c>
      <c r="G85" s="4">
        <v>278758</v>
      </c>
      <c r="H85" s="4">
        <v>16</v>
      </c>
      <c r="I85" s="5" t="s">
        <v>109</v>
      </c>
      <c r="J85" s="4" t="s">
        <v>282</v>
      </c>
      <c r="K85" s="4">
        <v>46</v>
      </c>
      <c r="L85" s="4">
        <v>0</v>
      </c>
      <c r="M85" s="12" t="s">
        <v>277</v>
      </c>
      <c r="N85" s="13">
        <v>9</v>
      </c>
    </row>
    <row r="86" spans="1:14" ht="20" customHeight="1">
      <c r="A86" s="4" t="s">
        <v>304</v>
      </c>
      <c r="B86" s="4" t="s">
        <v>305</v>
      </c>
      <c r="C86" s="6" t="s">
        <v>297</v>
      </c>
      <c r="D86" s="5" t="s">
        <v>306</v>
      </c>
      <c r="E86" s="4" t="s">
        <v>275</v>
      </c>
      <c r="F86" s="4" t="s">
        <v>276</v>
      </c>
      <c r="G86" s="4">
        <v>262498</v>
      </c>
      <c r="H86" s="4">
        <v>2</v>
      </c>
      <c r="I86" s="5" t="s">
        <v>44</v>
      </c>
      <c r="J86" s="4" t="s">
        <v>280</v>
      </c>
      <c r="K86" s="4">
        <v>46</v>
      </c>
      <c r="L86" s="4">
        <v>0</v>
      </c>
      <c r="M86" s="12" t="s">
        <v>277</v>
      </c>
      <c r="N86" s="13">
        <v>8</v>
      </c>
    </row>
    <row r="87" spans="1:14" ht="20" customHeight="1">
      <c r="A87" s="4" t="s">
        <v>304</v>
      </c>
      <c r="B87" s="4" t="s">
        <v>305</v>
      </c>
      <c r="C87" s="6" t="s">
        <v>297</v>
      </c>
      <c r="D87" s="5" t="s">
        <v>306</v>
      </c>
      <c r="E87" s="4" t="s">
        <v>275</v>
      </c>
      <c r="F87" s="4" t="s">
        <v>276</v>
      </c>
      <c r="G87" s="4">
        <v>230134</v>
      </c>
      <c r="H87" s="4">
        <v>14</v>
      </c>
      <c r="I87" s="5" t="s">
        <v>171</v>
      </c>
      <c r="J87" s="4" t="s">
        <v>281</v>
      </c>
      <c r="K87" s="4">
        <v>46</v>
      </c>
      <c r="L87" s="4">
        <v>0</v>
      </c>
      <c r="M87" s="12" t="s">
        <v>277</v>
      </c>
      <c r="N87" s="13">
        <v>7</v>
      </c>
    </row>
    <row r="88" spans="1:14" ht="20" customHeight="1">
      <c r="A88" s="4" t="s">
        <v>304</v>
      </c>
      <c r="B88" s="4" t="s">
        <v>305</v>
      </c>
      <c r="C88" s="6" t="s">
        <v>297</v>
      </c>
      <c r="D88" s="5" t="s">
        <v>306</v>
      </c>
      <c r="E88" s="4" t="s">
        <v>275</v>
      </c>
      <c r="F88" s="4" t="s">
        <v>276</v>
      </c>
      <c r="G88" s="4">
        <v>236393</v>
      </c>
      <c r="H88" s="4">
        <v>22</v>
      </c>
      <c r="I88" s="5" t="s">
        <v>137</v>
      </c>
      <c r="J88" s="4" t="s">
        <v>299</v>
      </c>
      <c r="K88" s="4">
        <v>46</v>
      </c>
      <c r="L88" s="4">
        <v>0</v>
      </c>
      <c r="M88" s="12" t="s">
        <v>277</v>
      </c>
      <c r="N88" s="13">
        <v>7</v>
      </c>
    </row>
    <row r="89" spans="1:14" ht="20" customHeight="1">
      <c r="A89" s="4" t="s">
        <v>304</v>
      </c>
      <c r="B89" s="4" t="s">
        <v>305</v>
      </c>
      <c r="C89" s="6" t="s">
        <v>297</v>
      </c>
      <c r="D89" s="5" t="s">
        <v>306</v>
      </c>
      <c r="E89" s="4" t="s">
        <v>275</v>
      </c>
      <c r="F89" s="4" t="s">
        <v>276</v>
      </c>
      <c r="G89" s="4">
        <v>245704</v>
      </c>
      <c r="H89" s="4">
        <v>20</v>
      </c>
      <c r="I89" s="5" t="s">
        <v>192</v>
      </c>
      <c r="J89" s="4" t="s">
        <v>278</v>
      </c>
      <c r="K89" s="4">
        <v>46</v>
      </c>
      <c r="L89" s="4">
        <v>0</v>
      </c>
      <c r="M89" s="12" t="s">
        <v>277</v>
      </c>
      <c r="N89" s="13">
        <v>6</v>
      </c>
    </row>
    <row r="90" spans="1:14" ht="20" customHeight="1">
      <c r="A90" s="4" t="s">
        <v>304</v>
      </c>
      <c r="B90" s="4" t="s">
        <v>305</v>
      </c>
      <c r="C90" s="6" t="s">
        <v>297</v>
      </c>
      <c r="D90" s="5" t="s">
        <v>306</v>
      </c>
      <c r="E90" s="4" t="s">
        <v>275</v>
      </c>
      <c r="F90" s="4" t="s">
        <v>276</v>
      </c>
      <c r="G90" s="4">
        <v>241505</v>
      </c>
      <c r="H90" s="4">
        <v>17</v>
      </c>
      <c r="I90" s="5" t="s">
        <v>184</v>
      </c>
      <c r="J90" s="4" t="s">
        <v>49</v>
      </c>
      <c r="K90" s="4">
        <v>45</v>
      </c>
      <c r="L90" s="4">
        <v>0</v>
      </c>
      <c r="M90" s="12" t="s">
        <v>277</v>
      </c>
      <c r="N90" s="13">
        <v>7</v>
      </c>
    </row>
    <row r="91" spans="1:14" ht="20" customHeight="1">
      <c r="A91" s="4" t="s">
        <v>304</v>
      </c>
      <c r="B91" s="4" t="s">
        <v>305</v>
      </c>
      <c r="C91" s="6" t="s">
        <v>297</v>
      </c>
      <c r="D91" s="5" t="s">
        <v>306</v>
      </c>
      <c r="E91" s="4" t="s">
        <v>275</v>
      </c>
      <c r="F91" s="4" t="s">
        <v>276</v>
      </c>
      <c r="G91" s="4">
        <v>266100</v>
      </c>
      <c r="H91" s="4">
        <v>6</v>
      </c>
      <c r="I91" s="5" t="s">
        <v>81</v>
      </c>
      <c r="J91" s="4" t="s">
        <v>50</v>
      </c>
      <c r="K91" s="4">
        <v>45</v>
      </c>
      <c r="L91" s="4">
        <v>0</v>
      </c>
      <c r="M91" s="12" t="s">
        <v>277</v>
      </c>
      <c r="N91" s="13">
        <v>7</v>
      </c>
    </row>
    <row r="92" spans="1:14" ht="20" customHeight="1">
      <c r="A92" s="4" t="s">
        <v>304</v>
      </c>
      <c r="B92" s="4" t="s">
        <v>305</v>
      </c>
      <c r="C92" s="6" t="s">
        <v>297</v>
      </c>
      <c r="D92" s="5" t="s">
        <v>306</v>
      </c>
      <c r="E92" s="4" t="s">
        <v>275</v>
      </c>
      <c r="F92" s="4" t="s">
        <v>276</v>
      </c>
      <c r="G92" s="4">
        <v>75437</v>
      </c>
      <c r="H92" s="4">
        <v>29</v>
      </c>
      <c r="I92" s="5" t="s">
        <v>200</v>
      </c>
      <c r="J92" s="4" t="s">
        <v>114</v>
      </c>
      <c r="K92" s="4">
        <v>45</v>
      </c>
      <c r="L92" s="4">
        <v>0</v>
      </c>
      <c r="M92" s="12" t="s">
        <v>277</v>
      </c>
      <c r="N92" s="13">
        <v>7</v>
      </c>
    </row>
    <row r="93" spans="1:14" ht="20" customHeight="1">
      <c r="A93" s="4" t="s">
        <v>304</v>
      </c>
      <c r="B93" s="4" t="s">
        <v>305</v>
      </c>
      <c r="C93" s="6" t="s">
        <v>297</v>
      </c>
      <c r="D93" s="5" t="s">
        <v>306</v>
      </c>
      <c r="E93" s="4" t="s">
        <v>275</v>
      </c>
      <c r="F93" s="4" t="s">
        <v>276</v>
      </c>
      <c r="G93" s="4">
        <v>263006</v>
      </c>
      <c r="H93" s="4">
        <v>19</v>
      </c>
      <c r="I93" s="5" t="s">
        <v>121</v>
      </c>
      <c r="J93" s="4" t="s">
        <v>125</v>
      </c>
      <c r="K93" s="4">
        <v>45</v>
      </c>
      <c r="L93" s="4">
        <v>0</v>
      </c>
      <c r="M93" s="12" t="s">
        <v>277</v>
      </c>
      <c r="N93" s="13">
        <v>6</v>
      </c>
    </row>
    <row r="94" spans="1:14" ht="20" customHeight="1">
      <c r="A94" s="4" t="s">
        <v>304</v>
      </c>
      <c r="B94" s="4" t="s">
        <v>305</v>
      </c>
      <c r="C94" s="6" t="s">
        <v>297</v>
      </c>
      <c r="D94" s="5" t="s">
        <v>306</v>
      </c>
      <c r="E94" s="4" t="s">
        <v>275</v>
      </c>
      <c r="F94" s="4" t="s">
        <v>276</v>
      </c>
      <c r="G94" s="4">
        <v>260044</v>
      </c>
      <c r="H94" s="4">
        <v>11</v>
      </c>
      <c r="I94" s="5" t="s">
        <v>221</v>
      </c>
      <c r="J94" s="4" t="s">
        <v>140</v>
      </c>
      <c r="K94" s="4">
        <v>45</v>
      </c>
      <c r="L94" s="4">
        <v>0</v>
      </c>
      <c r="M94" s="12" t="s">
        <v>277</v>
      </c>
      <c r="N94" s="13">
        <v>6</v>
      </c>
    </row>
    <row r="95" spans="1:14" ht="20" customHeight="1">
      <c r="A95" s="4" t="s">
        <v>307</v>
      </c>
      <c r="B95" s="4" t="s">
        <v>308</v>
      </c>
      <c r="C95" s="6" t="s">
        <v>297</v>
      </c>
      <c r="D95" s="5" t="s">
        <v>309</v>
      </c>
      <c r="E95" s="4" t="s">
        <v>275</v>
      </c>
      <c r="F95" s="4" t="s">
        <v>310</v>
      </c>
      <c r="G95" s="4">
        <v>265405</v>
      </c>
      <c r="H95" s="4">
        <v>13</v>
      </c>
      <c r="I95" s="5" t="s">
        <v>164</v>
      </c>
      <c r="J95" s="4" t="s">
        <v>149</v>
      </c>
      <c r="K95" s="4">
        <v>90</v>
      </c>
      <c r="L95" s="4">
        <v>0</v>
      </c>
      <c r="M95" s="12" t="s">
        <v>277</v>
      </c>
      <c r="N95" s="13">
        <v>8</v>
      </c>
    </row>
    <row r="96" spans="1:14" ht="20" customHeight="1">
      <c r="A96" s="4" t="s">
        <v>307</v>
      </c>
      <c r="B96" s="4" t="s">
        <v>308</v>
      </c>
      <c r="C96" s="6" t="s">
        <v>297</v>
      </c>
      <c r="D96" s="5" t="s">
        <v>309</v>
      </c>
      <c r="E96" s="4" t="s">
        <v>275</v>
      </c>
      <c r="F96" s="4" t="s">
        <v>310</v>
      </c>
      <c r="G96" s="4">
        <v>271955</v>
      </c>
      <c r="H96" s="4">
        <v>5</v>
      </c>
      <c r="I96" s="5" t="s">
        <v>70</v>
      </c>
      <c r="J96" s="4" t="s">
        <v>74</v>
      </c>
      <c r="K96" s="4">
        <v>90</v>
      </c>
      <c r="L96" s="4">
        <v>0</v>
      </c>
      <c r="M96" s="12" t="s">
        <v>277</v>
      </c>
      <c r="N96" s="13">
        <v>7</v>
      </c>
    </row>
    <row r="97" spans="1:14" ht="20" customHeight="1">
      <c r="A97" s="4" t="s">
        <v>307</v>
      </c>
      <c r="B97" s="4" t="s">
        <v>308</v>
      </c>
      <c r="C97" s="6" t="s">
        <v>297</v>
      </c>
      <c r="D97" s="5" t="s">
        <v>309</v>
      </c>
      <c r="E97" s="4" t="s">
        <v>275</v>
      </c>
      <c r="F97" s="4" t="s">
        <v>310</v>
      </c>
      <c r="G97" s="4">
        <v>260044</v>
      </c>
      <c r="H97" s="4">
        <v>11</v>
      </c>
      <c r="I97" s="5" t="s">
        <v>221</v>
      </c>
      <c r="J97" s="4" t="s">
        <v>140</v>
      </c>
      <c r="K97" s="4">
        <v>90</v>
      </c>
      <c r="L97" s="12">
        <v>1</v>
      </c>
      <c r="M97" s="12" t="s">
        <v>277</v>
      </c>
      <c r="N97" s="13">
        <v>7</v>
      </c>
    </row>
    <row r="98" spans="1:14" ht="20" customHeight="1">
      <c r="A98" s="4" t="s">
        <v>307</v>
      </c>
      <c r="B98" s="4" t="s">
        <v>308</v>
      </c>
      <c r="C98" s="6" t="s">
        <v>297</v>
      </c>
      <c r="D98" s="5" t="s">
        <v>309</v>
      </c>
      <c r="E98" s="4" t="s">
        <v>275</v>
      </c>
      <c r="F98" s="4" t="s">
        <v>310</v>
      </c>
      <c r="G98" s="4">
        <v>279881</v>
      </c>
      <c r="H98" s="4">
        <v>21</v>
      </c>
      <c r="I98" s="5" t="s">
        <v>130</v>
      </c>
      <c r="J98" s="4" t="s">
        <v>50</v>
      </c>
      <c r="K98" s="4">
        <v>90</v>
      </c>
      <c r="L98" s="4">
        <v>0</v>
      </c>
      <c r="M98" s="12" t="s">
        <v>277</v>
      </c>
      <c r="N98" s="13">
        <v>7</v>
      </c>
    </row>
    <row r="99" spans="1:14" ht="20" customHeight="1">
      <c r="A99" s="4" t="s">
        <v>307</v>
      </c>
      <c r="B99" s="4" t="s">
        <v>308</v>
      </c>
      <c r="C99" s="6" t="s">
        <v>297</v>
      </c>
      <c r="D99" s="5" t="s">
        <v>309</v>
      </c>
      <c r="E99" s="4" t="s">
        <v>275</v>
      </c>
      <c r="F99" s="4" t="s">
        <v>310</v>
      </c>
      <c r="G99" s="4">
        <v>241505</v>
      </c>
      <c r="H99" s="4">
        <v>17</v>
      </c>
      <c r="I99" s="5" t="s">
        <v>184</v>
      </c>
      <c r="J99" s="4" t="s">
        <v>49</v>
      </c>
      <c r="K99" s="4">
        <v>90</v>
      </c>
      <c r="L99" s="4">
        <v>0</v>
      </c>
      <c r="M99" s="12" t="s">
        <v>277</v>
      </c>
      <c r="N99" s="13">
        <v>6</v>
      </c>
    </row>
    <row r="100" spans="1:14" ht="20" customHeight="1">
      <c r="A100" s="4" t="s">
        <v>307</v>
      </c>
      <c r="B100" s="4" t="s">
        <v>308</v>
      </c>
      <c r="C100" s="6" t="s">
        <v>297</v>
      </c>
      <c r="D100" s="5" t="s">
        <v>309</v>
      </c>
      <c r="E100" s="4" t="s">
        <v>275</v>
      </c>
      <c r="F100" s="4" t="s">
        <v>310</v>
      </c>
      <c r="G100" s="4">
        <v>247500</v>
      </c>
      <c r="H100" s="4">
        <v>12</v>
      </c>
      <c r="I100" s="5" t="s">
        <v>102</v>
      </c>
      <c r="J100" s="4" t="s">
        <v>74</v>
      </c>
      <c r="K100" s="4">
        <v>90</v>
      </c>
      <c r="L100" s="4">
        <v>0</v>
      </c>
      <c r="M100" s="12" t="s">
        <v>277</v>
      </c>
      <c r="N100" s="13">
        <v>6</v>
      </c>
    </row>
    <row r="101" spans="1:14" ht="20" customHeight="1">
      <c r="A101" s="4" t="s">
        <v>307</v>
      </c>
      <c r="B101" s="4" t="s">
        <v>308</v>
      </c>
      <c r="C101" s="6" t="s">
        <v>297</v>
      </c>
      <c r="D101" s="5" t="s">
        <v>309</v>
      </c>
      <c r="E101" s="4" t="s">
        <v>275</v>
      </c>
      <c r="F101" s="4" t="s">
        <v>310</v>
      </c>
      <c r="G101" s="4">
        <v>278758</v>
      </c>
      <c r="H101" s="4">
        <v>16</v>
      </c>
      <c r="I101" s="5" t="s">
        <v>109</v>
      </c>
      <c r="J101" s="4" t="s">
        <v>282</v>
      </c>
      <c r="K101" s="4">
        <v>48</v>
      </c>
      <c r="L101" s="4">
        <v>0</v>
      </c>
      <c r="M101" s="12" t="s">
        <v>277</v>
      </c>
      <c r="N101" s="13">
        <v>8</v>
      </c>
    </row>
    <row r="102" spans="1:14" ht="20" customHeight="1">
      <c r="A102" s="4" t="s">
        <v>307</v>
      </c>
      <c r="B102" s="4" t="s">
        <v>308</v>
      </c>
      <c r="C102" s="6" t="s">
        <v>297</v>
      </c>
      <c r="D102" s="5" t="s">
        <v>309</v>
      </c>
      <c r="E102" s="4" t="s">
        <v>275</v>
      </c>
      <c r="F102" s="4" t="s">
        <v>310</v>
      </c>
      <c r="G102" s="4">
        <v>79752</v>
      </c>
      <c r="H102" s="4">
        <v>18</v>
      </c>
      <c r="I102" s="5" t="s">
        <v>229</v>
      </c>
      <c r="J102" s="4" t="s">
        <v>281</v>
      </c>
      <c r="K102" s="4">
        <v>48</v>
      </c>
      <c r="L102" s="4">
        <v>0</v>
      </c>
      <c r="M102" s="12" t="s">
        <v>277</v>
      </c>
      <c r="N102" s="13">
        <v>7</v>
      </c>
    </row>
    <row r="103" spans="1:14" ht="20" customHeight="1">
      <c r="A103" s="4" t="s">
        <v>307</v>
      </c>
      <c r="B103" s="4" t="s">
        <v>308</v>
      </c>
      <c r="C103" s="6" t="s">
        <v>297</v>
      </c>
      <c r="D103" s="5" t="s">
        <v>309</v>
      </c>
      <c r="E103" s="4" t="s">
        <v>275</v>
      </c>
      <c r="F103" s="4" t="s">
        <v>310</v>
      </c>
      <c r="G103" s="4">
        <v>262498</v>
      </c>
      <c r="H103" s="4">
        <v>2</v>
      </c>
      <c r="I103" s="5" t="s">
        <v>44</v>
      </c>
      <c r="J103" s="4" t="s">
        <v>280</v>
      </c>
      <c r="K103" s="4">
        <v>48</v>
      </c>
      <c r="L103" s="4">
        <v>0</v>
      </c>
      <c r="M103" s="12" t="s">
        <v>277</v>
      </c>
      <c r="N103" s="13">
        <v>7</v>
      </c>
    </row>
    <row r="104" spans="1:14" ht="20" customHeight="1">
      <c r="A104" s="4" t="s">
        <v>307</v>
      </c>
      <c r="B104" s="4" t="s">
        <v>308</v>
      </c>
      <c r="C104" s="6" t="s">
        <v>297</v>
      </c>
      <c r="D104" s="5" t="s">
        <v>309</v>
      </c>
      <c r="E104" s="4" t="s">
        <v>275</v>
      </c>
      <c r="F104" s="4" t="s">
        <v>310</v>
      </c>
      <c r="G104" s="4">
        <v>273022</v>
      </c>
      <c r="H104" s="4">
        <v>3</v>
      </c>
      <c r="I104" s="5" t="s">
        <v>59</v>
      </c>
      <c r="J104" s="4" t="s">
        <v>294</v>
      </c>
      <c r="K104" s="4">
        <v>48</v>
      </c>
      <c r="L104" s="4">
        <v>0</v>
      </c>
      <c r="M104" s="12" t="s">
        <v>277</v>
      </c>
      <c r="N104" s="13">
        <v>6</v>
      </c>
    </row>
    <row r="105" spans="1:14" ht="20" customHeight="1">
      <c r="A105" s="4" t="s">
        <v>307</v>
      </c>
      <c r="B105" s="4" t="s">
        <v>308</v>
      </c>
      <c r="C105" s="6" t="s">
        <v>297</v>
      </c>
      <c r="D105" s="5" t="s">
        <v>309</v>
      </c>
      <c r="E105" s="4" t="s">
        <v>275</v>
      </c>
      <c r="F105" s="4" t="s">
        <v>310</v>
      </c>
      <c r="G105" s="4">
        <v>230134</v>
      </c>
      <c r="H105" s="4">
        <v>14</v>
      </c>
      <c r="I105" s="5" t="s">
        <v>171</v>
      </c>
      <c r="J105" s="4" t="s">
        <v>281</v>
      </c>
      <c r="K105" s="4">
        <v>48</v>
      </c>
      <c r="L105" s="4">
        <v>0</v>
      </c>
      <c r="M105" s="12" t="s">
        <v>277</v>
      </c>
      <c r="N105" s="13">
        <v>6</v>
      </c>
    </row>
    <row r="106" spans="1:14" ht="20" customHeight="1">
      <c r="A106" s="4" t="s">
        <v>307</v>
      </c>
      <c r="B106" s="4" t="s">
        <v>308</v>
      </c>
      <c r="C106" s="6" t="s">
        <v>297</v>
      </c>
      <c r="D106" s="5" t="s">
        <v>309</v>
      </c>
      <c r="E106" s="4" t="s">
        <v>275</v>
      </c>
      <c r="F106" s="4" t="s">
        <v>310</v>
      </c>
      <c r="G106" s="4">
        <v>275520</v>
      </c>
      <c r="H106" s="4">
        <v>8</v>
      </c>
      <c r="I106" s="5" t="s">
        <v>91</v>
      </c>
      <c r="J106" s="4" t="s">
        <v>50</v>
      </c>
      <c r="K106" s="4">
        <v>45</v>
      </c>
      <c r="L106" s="4">
        <v>0</v>
      </c>
      <c r="M106" s="12" t="s">
        <v>277</v>
      </c>
      <c r="N106" s="13">
        <v>7</v>
      </c>
    </row>
    <row r="107" spans="1:14" ht="20" customHeight="1">
      <c r="A107" s="4" t="s">
        <v>307</v>
      </c>
      <c r="B107" s="4" t="s">
        <v>308</v>
      </c>
      <c r="C107" s="6" t="s">
        <v>297</v>
      </c>
      <c r="D107" s="5" t="s">
        <v>309</v>
      </c>
      <c r="E107" s="4" t="s">
        <v>275</v>
      </c>
      <c r="F107" s="4" t="s">
        <v>310</v>
      </c>
      <c r="G107" s="4">
        <v>263006</v>
      </c>
      <c r="H107" s="4">
        <v>19</v>
      </c>
      <c r="I107" s="5" t="s">
        <v>121</v>
      </c>
      <c r="J107" s="4" t="s">
        <v>125</v>
      </c>
      <c r="K107" s="4">
        <v>45</v>
      </c>
      <c r="L107" s="4">
        <v>0</v>
      </c>
      <c r="M107" s="12" t="s">
        <v>277</v>
      </c>
      <c r="N107" s="13">
        <v>7</v>
      </c>
    </row>
    <row r="108" spans="1:14" ht="20" customHeight="1">
      <c r="A108" s="4" t="s">
        <v>307</v>
      </c>
      <c r="B108" s="4" t="s">
        <v>308</v>
      </c>
      <c r="C108" s="6" t="s">
        <v>297</v>
      </c>
      <c r="D108" s="5" t="s">
        <v>309</v>
      </c>
      <c r="E108" s="4" t="s">
        <v>275</v>
      </c>
      <c r="F108" s="4" t="s">
        <v>310</v>
      </c>
      <c r="G108" s="4">
        <v>266100</v>
      </c>
      <c r="H108" s="4">
        <v>6</v>
      </c>
      <c r="I108" s="5" t="s">
        <v>81</v>
      </c>
      <c r="J108" s="4" t="s">
        <v>50</v>
      </c>
      <c r="K108" s="4">
        <v>45</v>
      </c>
      <c r="L108" s="4">
        <v>0</v>
      </c>
      <c r="M108" s="12" t="s">
        <v>277</v>
      </c>
      <c r="N108" s="13">
        <v>6</v>
      </c>
    </row>
    <row r="109" spans="1:14" ht="20" customHeight="1">
      <c r="A109" s="4" t="s">
        <v>307</v>
      </c>
      <c r="B109" s="4" t="s">
        <v>308</v>
      </c>
      <c r="C109" s="6" t="s">
        <v>297</v>
      </c>
      <c r="D109" s="5" t="s">
        <v>309</v>
      </c>
      <c r="E109" s="4" t="s">
        <v>275</v>
      </c>
      <c r="F109" s="4" t="s">
        <v>310</v>
      </c>
      <c r="G109" s="4">
        <v>75437</v>
      </c>
      <c r="H109" s="4">
        <v>29</v>
      </c>
      <c r="I109" s="5" t="s">
        <v>200</v>
      </c>
      <c r="J109" s="4" t="s">
        <v>114</v>
      </c>
      <c r="K109" s="4">
        <v>45</v>
      </c>
      <c r="L109" s="4">
        <v>0</v>
      </c>
      <c r="M109" s="12" t="s">
        <v>277</v>
      </c>
      <c r="N109" s="13">
        <v>6</v>
      </c>
    </row>
    <row r="110" spans="1:14" ht="20" customHeight="1">
      <c r="A110" s="4" t="s">
        <v>307</v>
      </c>
      <c r="B110" s="4" t="s">
        <v>308</v>
      </c>
      <c r="C110" s="6" t="s">
        <v>297</v>
      </c>
      <c r="D110" s="5" t="s">
        <v>309</v>
      </c>
      <c r="E110" s="4" t="s">
        <v>275</v>
      </c>
      <c r="F110" s="4" t="s">
        <v>310</v>
      </c>
      <c r="G110" s="4">
        <v>279603</v>
      </c>
      <c r="H110" s="4">
        <v>15</v>
      </c>
      <c r="I110" s="5" t="s">
        <v>178</v>
      </c>
      <c r="J110" s="4" t="s">
        <v>63</v>
      </c>
      <c r="K110" s="4">
        <v>45</v>
      </c>
      <c r="L110" s="12">
        <v>1</v>
      </c>
      <c r="M110" s="12" t="s">
        <v>277</v>
      </c>
      <c r="N110" s="13">
        <v>6</v>
      </c>
    </row>
    <row r="111" spans="1:14" ht="20" customHeight="1">
      <c r="A111" s="4" t="s">
        <v>311</v>
      </c>
      <c r="B111" s="4" t="s">
        <v>312</v>
      </c>
      <c r="C111" s="6" t="s">
        <v>297</v>
      </c>
      <c r="D111" s="5" t="s">
        <v>313</v>
      </c>
      <c r="E111" s="4" t="s">
        <v>275</v>
      </c>
      <c r="F111" s="4" t="s">
        <v>314</v>
      </c>
      <c r="G111" s="4">
        <v>277311</v>
      </c>
      <c r="H111" s="4">
        <v>10</v>
      </c>
      <c r="I111" s="5" t="s">
        <v>215</v>
      </c>
      <c r="J111" s="4" t="s">
        <v>50</v>
      </c>
      <c r="K111" s="4">
        <v>90</v>
      </c>
      <c r="L111" s="4">
        <v>0</v>
      </c>
      <c r="M111" s="12" t="s">
        <v>277</v>
      </c>
      <c r="N111" s="13">
        <v>7</v>
      </c>
    </row>
    <row r="112" spans="1:14" ht="20" customHeight="1">
      <c r="A112" s="4" t="s">
        <v>311</v>
      </c>
      <c r="B112" s="4" t="s">
        <v>312</v>
      </c>
      <c r="C112" s="6" t="s">
        <v>297</v>
      </c>
      <c r="D112" s="5" t="s">
        <v>313</v>
      </c>
      <c r="E112" s="4" t="s">
        <v>275</v>
      </c>
      <c r="F112" s="4" t="s">
        <v>314</v>
      </c>
      <c r="G112" s="4">
        <v>247500</v>
      </c>
      <c r="H112" s="4">
        <v>12</v>
      </c>
      <c r="I112" s="5" t="s">
        <v>102</v>
      </c>
      <c r="J112" s="4" t="s">
        <v>74</v>
      </c>
      <c r="K112" s="4">
        <v>90</v>
      </c>
      <c r="L112" s="4">
        <v>0</v>
      </c>
      <c r="M112" s="12" t="s">
        <v>277</v>
      </c>
      <c r="N112" s="13">
        <v>7</v>
      </c>
    </row>
    <row r="113" spans="1:14" ht="20" customHeight="1">
      <c r="A113" s="4" t="s">
        <v>311</v>
      </c>
      <c r="B113" s="4" t="s">
        <v>312</v>
      </c>
      <c r="C113" s="6" t="s">
        <v>297</v>
      </c>
      <c r="D113" s="5" t="s">
        <v>313</v>
      </c>
      <c r="E113" s="4" t="s">
        <v>275</v>
      </c>
      <c r="F113" s="4" t="s">
        <v>314</v>
      </c>
      <c r="G113" s="4">
        <v>228707</v>
      </c>
      <c r="H113" s="4">
        <v>23</v>
      </c>
      <c r="I113" s="5" t="s">
        <v>235</v>
      </c>
      <c r="J113" s="4" t="s">
        <v>74</v>
      </c>
      <c r="K113" s="4">
        <v>90</v>
      </c>
      <c r="L113" s="4">
        <v>0</v>
      </c>
      <c r="M113" s="12" t="s">
        <v>277</v>
      </c>
      <c r="N113" s="13">
        <v>7</v>
      </c>
    </row>
    <row r="114" spans="1:14" ht="20" customHeight="1">
      <c r="A114" s="4" t="s">
        <v>311</v>
      </c>
      <c r="B114" s="4" t="s">
        <v>312</v>
      </c>
      <c r="C114" s="6" t="s">
        <v>297</v>
      </c>
      <c r="D114" s="5" t="s">
        <v>313</v>
      </c>
      <c r="E114" s="4" t="s">
        <v>275</v>
      </c>
      <c r="F114" s="4" t="s">
        <v>314</v>
      </c>
      <c r="G114" s="4">
        <v>236393</v>
      </c>
      <c r="H114" s="4">
        <v>22</v>
      </c>
      <c r="I114" s="5" t="s">
        <v>137</v>
      </c>
      <c r="J114" s="4" t="s">
        <v>140</v>
      </c>
      <c r="K114" s="4">
        <v>90</v>
      </c>
      <c r="L114" s="12">
        <v>1</v>
      </c>
      <c r="M114" s="12" t="s">
        <v>277</v>
      </c>
      <c r="N114" s="13">
        <v>7</v>
      </c>
    </row>
    <row r="115" spans="1:14" ht="20" customHeight="1">
      <c r="A115" s="4" t="s">
        <v>311</v>
      </c>
      <c r="B115" s="4" t="s">
        <v>312</v>
      </c>
      <c r="C115" s="6" t="s">
        <v>297</v>
      </c>
      <c r="D115" s="5" t="s">
        <v>313</v>
      </c>
      <c r="E115" s="4" t="s">
        <v>275</v>
      </c>
      <c r="F115" s="4" t="s">
        <v>314</v>
      </c>
      <c r="G115" s="4">
        <v>276198</v>
      </c>
      <c r="H115" s="4">
        <v>25</v>
      </c>
      <c r="I115" s="5" t="s">
        <v>146</v>
      </c>
      <c r="J115" s="4" t="s">
        <v>149</v>
      </c>
      <c r="K115" s="4">
        <v>90</v>
      </c>
      <c r="L115" s="4">
        <v>0</v>
      </c>
      <c r="M115" s="12" t="s">
        <v>277</v>
      </c>
      <c r="N115" s="13">
        <v>6</v>
      </c>
    </row>
    <row r="116" spans="1:14" ht="20" customHeight="1">
      <c r="A116" s="4" t="s">
        <v>311</v>
      </c>
      <c r="B116" s="4" t="s">
        <v>312</v>
      </c>
      <c r="C116" s="6" t="s">
        <v>297</v>
      </c>
      <c r="D116" s="5" t="s">
        <v>313</v>
      </c>
      <c r="E116" s="4" t="s">
        <v>275</v>
      </c>
      <c r="F116" s="4" t="s">
        <v>314</v>
      </c>
      <c r="G116" s="4">
        <v>274828</v>
      </c>
      <c r="H116" s="4">
        <v>7</v>
      </c>
      <c r="I116" s="5" t="s">
        <v>207</v>
      </c>
      <c r="J116" s="4" t="s">
        <v>63</v>
      </c>
      <c r="K116" s="4">
        <v>90</v>
      </c>
      <c r="L116" s="4">
        <v>0</v>
      </c>
      <c r="M116" s="12" t="s">
        <v>277</v>
      </c>
      <c r="N116" s="13">
        <v>6</v>
      </c>
    </row>
    <row r="117" spans="1:14" ht="20" customHeight="1">
      <c r="A117" s="4" t="s">
        <v>311</v>
      </c>
      <c r="B117" s="4" t="s">
        <v>312</v>
      </c>
      <c r="C117" s="6" t="s">
        <v>297</v>
      </c>
      <c r="D117" s="5" t="s">
        <v>313</v>
      </c>
      <c r="E117" s="4" t="s">
        <v>275</v>
      </c>
      <c r="F117" s="4" t="s">
        <v>314</v>
      </c>
      <c r="G117" s="4">
        <v>275520</v>
      </c>
      <c r="H117" s="4">
        <v>8</v>
      </c>
      <c r="I117" s="5" t="s">
        <v>91</v>
      </c>
      <c r="J117" s="4" t="s">
        <v>50</v>
      </c>
      <c r="K117" s="4">
        <v>63</v>
      </c>
      <c r="L117" s="12">
        <v>1</v>
      </c>
      <c r="M117" s="12" t="s">
        <v>277</v>
      </c>
      <c r="N117" s="13">
        <v>8</v>
      </c>
    </row>
    <row r="118" spans="1:14" ht="20" customHeight="1">
      <c r="A118" s="4" t="s">
        <v>311</v>
      </c>
      <c r="B118" s="4" t="s">
        <v>312</v>
      </c>
      <c r="C118" s="6" t="s">
        <v>297</v>
      </c>
      <c r="D118" s="5" t="s">
        <v>313</v>
      </c>
      <c r="E118" s="4" t="s">
        <v>275</v>
      </c>
      <c r="F118" s="4" t="s">
        <v>314</v>
      </c>
      <c r="G118" s="4">
        <v>263347</v>
      </c>
      <c r="H118" s="4">
        <v>24</v>
      </c>
      <c r="I118" s="5" t="s">
        <v>242</v>
      </c>
      <c r="J118" s="4" t="s">
        <v>244</v>
      </c>
      <c r="K118" s="4">
        <v>63</v>
      </c>
      <c r="L118" s="4">
        <v>0</v>
      </c>
      <c r="M118" s="12" t="s">
        <v>277</v>
      </c>
      <c r="N118" s="13">
        <v>8</v>
      </c>
    </row>
    <row r="119" spans="1:14" ht="20" customHeight="1">
      <c r="A119" s="4" t="s">
        <v>311</v>
      </c>
      <c r="B119" s="4" t="s">
        <v>312</v>
      </c>
      <c r="C119" s="6" t="s">
        <v>297</v>
      </c>
      <c r="D119" s="5" t="s">
        <v>313</v>
      </c>
      <c r="E119" s="4" t="s">
        <v>275</v>
      </c>
      <c r="F119" s="4" t="s">
        <v>314</v>
      </c>
      <c r="G119" s="4">
        <v>263006</v>
      </c>
      <c r="H119" s="4">
        <v>19</v>
      </c>
      <c r="I119" s="5" t="s">
        <v>121</v>
      </c>
      <c r="J119" s="4" t="s">
        <v>125</v>
      </c>
      <c r="K119" s="4">
        <v>63</v>
      </c>
      <c r="L119" s="4">
        <v>0</v>
      </c>
      <c r="M119" s="12" t="s">
        <v>277</v>
      </c>
      <c r="N119" s="13">
        <v>7</v>
      </c>
    </row>
    <row r="120" spans="1:14" ht="20" customHeight="1">
      <c r="A120" s="4" t="s">
        <v>311</v>
      </c>
      <c r="B120" s="4" t="s">
        <v>312</v>
      </c>
      <c r="C120" s="6" t="s">
        <v>297</v>
      </c>
      <c r="D120" s="5" t="s">
        <v>313</v>
      </c>
      <c r="E120" s="4" t="s">
        <v>275</v>
      </c>
      <c r="F120" s="4" t="s">
        <v>314</v>
      </c>
      <c r="G120" s="4">
        <v>75437</v>
      </c>
      <c r="H120" s="4">
        <v>29</v>
      </c>
      <c r="I120" s="5" t="s">
        <v>200</v>
      </c>
      <c r="J120" s="4" t="s">
        <v>114</v>
      </c>
      <c r="K120" s="4">
        <v>63</v>
      </c>
      <c r="L120" s="4">
        <v>0</v>
      </c>
      <c r="M120" s="12" t="s">
        <v>277</v>
      </c>
      <c r="N120" s="13">
        <v>7</v>
      </c>
    </row>
    <row r="121" spans="1:14" ht="20" customHeight="1">
      <c r="A121" s="4" t="s">
        <v>311</v>
      </c>
      <c r="B121" s="4" t="s">
        <v>312</v>
      </c>
      <c r="C121" s="6" t="s">
        <v>297</v>
      </c>
      <c r="D121" s="5" t="s">
        <v>313</v>
      </c>
      <c r="E121" s="4" t="s">
        <v>275</v>
      </c>
      <c r="F121" s="4" t="s">
        <v>314</v>
      </c>
      <c r="G121" s="4">
        <v>241505</v>
      </c>
      <c r="H121" s="4">
        <v>17</v>
      </c>
      <c r="I121" s="5" t="s">
        <v>184</v>
      </c>
      <c r="J121" s="4" t="s">
        <v>49</v>
      </c>
      <c r="K121" s="4">
        <v>63</v>
      </c>
      <c r="L121" s="4">
        <v>0</v>
      </c>
      <c r="M121" s="12" t="s">
        <v>277</v>
      </c>
      <c r="N121" s="13">
        <v>6</v>
      </c>
    </row>
    <row r="122" spans="1:14" ht="20" customHeight="1">
      <c r="A122" s="4" t="s">
        <v>311</v>
      </c>
      <c r="B122" s="4" t="s">
        <v>312</v>
      </c>
      <c r="C122" s="6" t="s">
        <v>297</v>
      </c>
      <c r="D122" s="5" t="s">
        <v>313</v>
      </c>
      <c r="E122" s="4" t="s">
        <v>275</v>
      </c>
      <c r="F122" s="4" t="s">
        <v>314</v>
      </c>
      <c r="G122" s="4">
        <v>230134</v>
      </c>
      <c r="H122" s="4">
        <v>14</v>
      </c>
      <c r="I122" s="5" t="s">
        <v>171</v>
      </c>
      <c r="J122" s="4" t="s">
        <v>281</v>
      </c>
      <c r="K122" s="4">
        <v>28</v>
      </c>
      <c r="L122" s="4">
        <v>0</v>
      </c>
      <c r="M122" s="12" t="s">
        <v>277</v>
      </c>
      <c r="N122" s="13">
        <v>7</v>
      </c>
    </row>
    <row r="123" spans="1:14" ht="20" customHeight="1">
      <c r="A123" s="4" t="s">
        <v>311</v>
      </c>
      <c r="B123" s="4" t="s">
        <v>312</v>
      </c>
      <c r="C123" s="6" t="s">
        <v>297</v>
      </c>
      <c r="D123" s="5" t="s">
        <v>313</v>
      </c>
      <c r="E123" s="4" t="s">
        <v>275</v>
      </c>
      <c r="F123" s="4" t="s">
        <v>314</v>
      </c>
      <c r="G123" s="4">
        <v>278758</v>
      </c>
      <c r="H123" s="4">
        <v>16</v>
      </c>
      <c r="I123" s="5" t="s">
        <v>109</v>
      </c>
      <c r="J123" s="4" t="s">
        <v>282</v>
      </c>
      <c r="K123" s="4">
        <v>28</v>
      </c>
      <c r="L123" s="4">
        <v>0</v>
      </c>
      <c r="M123" s="12" t="s">
        <v>277</v>
      </c>
      <c r="N123" s="13">
        <v>7</v>
      </c>
    </row>
    <row r="124" spans="1:14" ht="20" customHeight="1">
      <c r="A124" s="4" t="s">
        <v>311</v>
      </c>
      <c r="B124" s="4" t="s">
        <v>312</v>
      </c>
      <c r="C124" s="6" t="s">
        <v>297</v>
      </c>
      <c r="D124" s="5" t="s">
        <v>313</v>
      </c>
      <c r="E124" s="4" t="s">
        <v>275</v>
      </c>
      <c r="F124" s="4" t="s">
        <v>314</v>
      </c>
      <c r="G124" s="4">
        <v>79752</v>
      </c>
      <c r="H124" s="4">
        <v>18</v>
      </c>
      <c r="I124" s="5" t="s">
        <v>229</v>
      </c>
      <c r="J124" s="4" t="s">
        <v>281</v>
      </c>
      <c r="K124" s="4">
        <v>28</v>
      </c>
      <c r="L124" s="4">
        <v>0</v>
      </c>
      <c r="M124" s="12" t="s">
        <v>277</v>
      </c>
      <c r="N124" s="13">
        <v>7</v>
      </c>
    </row>
    <row r="125" spans="1:14" ht="20" customHeight="1">
      <c r="A125" s="4" t="s">
        <v>311</v>
      </c>
      <c r="B125" s="4" t="s">
        <v>312</v>
      </c>
      <c r="C125" s="6" t="s">
        <v>297</v>
      </c>
      <c r="D125" s="5" t="s">
        <v>313</v>
      </c>
      <c r="E125" s="4" t="s">
        <v>275</v>
      </c>
      <c r="F125" s="4" t="s">
        <v>314</v>
      </c>
      <c r="G125" s="4">
        <v>262498</v>
      </c>
      <c r="H125" s="4">
        <v>2</v>
      </c>
      <c r="I125" s="5" t="s">
        <v>44</v>
      </c>
      <c r="J125" s="4" t="s">
        <v>280</v>
      </c>
      <c r="K125" s="4">
        <v>28</v>
      </c>
      <c r="L125" s="4">
        <v>0</v>
      </c>
      <c r="M125" s="12" t="s">
        <v>277</v>
      </c>
      <c r="N125" s="13">
        <v>7</v>
      </c>
    </row>
    <row r="126" spans="1:14" ht="20" customHeight="1">
      <c r="A126" s="4" t="s">
        <v>311</v>
      </c>
      <c r="B126" s="4" t="s">
        <v>312</v>
      </c>
      <c r="C126" s="6" t="s">
        <v>297</v>
      </c>
      <c r="D126" s="5" t="s">
        <v>313</v>
      </c>
      <c r="E126" s="4" t="s">
        <v>275</v>
      </c>
      <c r="F126" s="4" t="s">
        <v>314</v>
      </c>
      <c r="G126" s="4">
        <v>245704</v>
      </c>
      <c r="H126" s="4">
        <v>20</v>
      </c>
      <c r="I126" s="5" t="s">
        <v>192</v>
      </c>
      <c r="J126" s="4" t="s">
        <v>278</v>
      </c>
      <c r="K126" s="4">
        <v>28</v>
      </c>
      <c r="L126" s="4">
        <v>0</v>
      </c>
      <c r="M126" s="12" t="s">
        <v>277</v>
      </c>
      <c r="N126" s="13">
        <v>6</v>
      </c>
    </row>
    <row r="127" spans="1:14" ht="20" customHeight="1">
      <c r="A127" s="4" t="s">
        <v>315</v>
      </c>
      <c r="B127" s="4" t="s">
        <v>316</v>
      </c>
      <c r="C127" s="6" t="s">
        <v>297</v>
      </c>
      <c r="D127" s="5" t="s">
        <v>317</v>
      </c>
      <c r="E127" s="4" t="s">
        <v>287</v>
      </c>
      <c r="F127" s="4" t="s">
        <v>318</v>
      </c>
      <c r="G127" s="4">
        <v>260044</v>
      </c>
      <c r="H127" s="4">
        <v>11</v>
      </c>
      <c r="I127" s="5" t="s">
        <v>221</v>
      </c>
      <c r="J127" s="4" t="s">
        <v>140</v>
      </c>
      <c r="K127" s="4">
        <v>90</v>
      </c>
      <c r="L127" s="12">
        <v>1</v>
      </c>
      <c r="M127" s="12" t="s">
        <v>277</v>
      </c>
      <c r="N127" s="13">
        <v>8</v>
      </c>
    </row>
    <row r="128" spans="1:14" ht="20" customHeight="1">
      <c r="A128" s="4" t="s">
        <v>315</v>
      </c>
      <c r="B128" s="4" t="s">
        <v>316</v>
      </c>
      <c r="C128" s="6" t="s">
        <v>297</v>
      </c>
      <c r="D128" s="5" t="s">
        <v>317</v>
      </c>
      <c r="E128" s="4" t="s">
        <v>287</v>
      </c>
      <c r="F128" s="4" t="s">
        <v>318</v>
      </c>
      <c r="G128" s="4">
        <v>271955</v>
      </c>
      <c r="H128" s="4">
        <v>5</v>
      </c>
      <c r="I128" s="5" t="s">
        <v>70</v>
      </c>
      <c r="J128" s="4" t="s">
        <v>74</v>
      </c>
      <c r="K128" s="4">
        <v>90</v>
      </c>
      <c r="L128" s="4">
        <v>0</v>
      </c>
      <c r="M128" s="12" t="s">
        <v>277</v>
      </c>
      <c r="N128" s="13">
        <v>7</v>
      </c>
    </row>
    <row r="129" spans="1:14" ht="20" customHeight="1">
      <c r="A129" s="4" t="s">
        <v>315</v>
      </c>
      <c r="B129" s="4" t="s">
        <v>316</v>
      </c>
      <c r="C129" s="6" t="s">
        <v>297</v>
      </c>
      <c r="D129" s="5" t="s">
        <v>317</v>
      </c>
      <c r="E129" s="4" t="s">
        <v>287</v>
      </c>
      <c r="F129" s="4" t="s">
        <v>318</v>
      </c>
      <c r="G129" s="4">
        <v>279603</v>
      </c>
      <c r="H129" s="4">
        <v>15</v>
      </c>
      <c r="I129" s="5" t="s">
        <v>178</v>
      </c>
      <c r="J129" s="4" t="s">
        <v>63</v>
      </c>
      <c r="K129" s="4">
        <v>90</v>
      </c>
      <c r="L129" s="4">
        <v>0</v>
      </c>
      <c r="M129" s="12" t="s">
        <v>277</v>
      </c>
      <c r="N129" s="13">
        <v>7</v>
      </c>
    </row>
    <row r="130" spans="1:14" ht="20" customHeight="1">
      <c r="A130" s="4" t="s">
        <v>315</v>
      </c>
      <c r="B130" s="4" t="s">
        <v>316</v>
      </c>
      <c r="C130" s="6" t="s">
        <v>297</v>
      </c>
      <c r="D130" s="5" t="s">
        <v>317</v>
      </c>
      <c r="E130" s="4" t="s">
        <v>287</v>
      </c>
      <c r="F130" s="4" t="s">
        <v>318</v>
      </c>
      <c r="G130" s="4">
        <v>247500</v>
      </c>
      <c r="H130" s="4">
        <v>12</v>
      </c>
      <c r="I130" s="5" t="s">
        <v>102</v>
      </c>
      <c r="J130" s="4" t="s">
        <v>74</v>
      </c>
      <c r="K130" s="4">
        <v>90</v>
      </c>
      <c r="L130" s="4">
        <v>0</v>
      </c>
      <c r="M130" s="12" t="s">
        <v>277</v>
      </c>
      <c r="N130" s="13">
        <v>7</v>
      </c>
    </row>
    <row r="131" spans="1:14" ht="20" customHeight="1">
      <c r="A131" s="4" t="s">
        <v>315</v>
      </c>
      <c r="B131" s="4" t="s">
        <v>316</v>
      </c>
      <c r="C131" s="6" t="s">
        <v>297</v>
      </c>
      <c r="D131" s="5" t="s">
        <v>317</v>
      </c>
      <c r="E131" s="4" t="s">
        <v>287</v>
      </c>
      <c r="F131" s="4" t="s">
        <v>318</v>
      </c>
      <c r="G131" s="4">
        <v>279881</v>
      </c>
      <c r="H131" s="4">
        <v>21</v>
      </c>
      <c r="I131" s="5" t="s">
        <v>130</v>
      </c>
      <c r="J131" s="4" t="s">
        <v>50</v>
      </c>
      <c r="K131" s="4">
        <v>90</v>
      </c>
      <c r="L131" s="4">
        <v>0</v>
      </c>
      <c r="M131" s="12" t="s">
        <v>277</v>
      </c>
      <c r="N131" s="13">
        <v>7</v>
      </c>
    </row>
    <row r="132" spans="1:14" ht="20" customHeight="1">
      <c r="A132" s="4" t="s">
        <v>315</v>
      </c>
      <c r="B132" s="4" t="s">
        <v>316</v>
      </c>
      <c r="C132" s="6" t="s">
        <v>297</v>
      </c>
      <c r="D132" s="5" t="s">
        <v>317</v>
      </c>
      <c r="E132" s="4" t="s">
        <v>287</v>
      </c>
      <c r="F132" s="4" t="s">
        <v>318</v>
      </c>
      <c r="G132" s="4">
        <v>276198</v>
      </c>
      <c r="H132" s="4">
        <v>25</v>
      </c>
      <c r="I132" s="5" t="s">
        <v>146</v>
      </c>
      <c r="J132" s="4" t="s">
        <v>149</v>
      </c>
      <c r="K132" s="4">
        <v>90</v>
      </c>
      <c r="L132" s="4">
        <v>0</v>
      </c>
      <c r="M132" s="12" t="s">
        <v>277</v>
      </c>
      <c r="N132" s="13">
        <v>6</v>
      </c>
    </row>
    <row r="133" spans="1:14" ht="20" customHeight="1">
      <c r="A133" s="4" t="s">
        <v>315</v>
      </c>
      <c r="B133" s="4" t="s">
        <v>316</v>
      </c>
      <c r="C133" s="6" t="s">
        <v>297</v>
      </c>
      <c r="D133" s="5" t="s">
        <v>317</v>
      </c>
      <c r="E133" s="4" t="s">
        <v>287</v>
      </c>
      <c r="F133" s="4" t="s">
        <v>318</v>
      </c>
      <c r="G133" s="4">
        <v>275520</v>
      </c>
      <c r="H133" s="4">
        <v>8</v>
      </c>
      <c r="I133" s="5" t="s">
        <v>91</v>
      </c>
      <c r="J133" s="4" t="s">
        <v>50</v>
      </c>
      <c r="K133" s="4">
        <v>68</v>
      </c>
      <c r="L133" s="4">
        <v>0</v>
      </c>
      <c r="M133" s="12" t="s">
        <v>277</v>
      </c>
      <c r="N133" s="13">
        <v>7</v>
      </c>
    </row>
    <row r="134" spans="1:14" ht="20" customHeight="1">
      <c r="A134" s="4" t="s">
        <v>315</v>
      </c>
      <c r="B134" s="4" t="s">
        <v>316</v>
      </c>
      <c r="C134" s="6" t="s">
        <v>297</v>
      </c>
      <c r="D134" s="5" t="s">
        <v>317</v>
      </c>
      <c r="E134" s="4" t="s">
        <v>287</v>
      </c>
      <c r="F134" s="4" t="s">
        <v>318</v>
      </c>
      <c r="G134" s="4">
        <v>266100</v>
      </c>
      <c r="H134" s="4">
        <v>6</v>
      </c>
      <c r="I134" s="5" t="s">
        <v>81</v>
      </c>
      <c r="J134" s="4" t="s">
        <v>50</v>
      </c>
      <c r="K134" s="4">
        <v>68</v>
      </c>
      <c r="L134" s="4">
        <v>0</v>
      </c>
      <c r="M134" s="12" t="s">
        <v>277</v>
      </c>
      <c r="N134" s="13">
        <v>7</v>
      </c>
    </row>
    <row r="135" spans="1:14" ht="20" customHeight="1">
      <c r="A135" s="4" t="s">
        <v>315</v>
      </c>
      <c r="B135" s="4" t="s">
        <v>316</v>
      </c>
      <c r="C135" s="6" t="s">
        <v>297</v>
      </c>
      <c r="D135" s="5" t="s">
        <v>317</v>
      </c>
      <c r="E135" s="4" t="s">
        <v>287</v>
      </c>
      <c r="F135" s="4" t="s">
        <v>318</v>
      </c>
      <c r="G135" s="4">
        <v>75437</v>
      </c>
      <c r="H135" s="4">
        <v>29</v>
      </c>
      <c r="I135" s="5" t="s">
        <v>200</v>
      </c>
      <c r="J135" s="4" t="s">
        <v>114</v>
      </c>
      <c r="K135" s="4">
        <v>65</v>
      </c>
      <c r="L135" s="4">
        <v>0</v>
      </c>
      <c r="M135" s="12" t="s">
        <v>277</v>
      </c>
      <c r="N135" s="13">
        <v>7</v>
      </c>
    </row>
    <row r="136" spans="1:14" ht="20" customHeight="1">
      <c r="A136" s="4" t="s">
        <v>315</v>
      </c>
      <c r="B136" s="4" t="s">
        <v>316</v>
      </c>
      <c r="C136" s="6" t="s">
        <v>297</v>
      </c>
      <c r="D136" s="5" t="s">
        <v>317</v>
      </c>
      <c r="E136" s="4" t="s">
        <v>287</v>
      </c>
      <c r="F136" s="4" t="s">
        <v>318</v>
      </c>
      <c r="G136" s="4">
        <v>241505</v>
      </c>
      <c r="H136" s="4">
        <v>17</v>
      </c>
      <c r="I136" s="5" t="s">
        <v>184</v>
      </c>
      <c r="J136" s="4" t="s">
        <v>125</v>
      </c>
      <c r="K136" s="4">
        <v>65</v>
      </c>
      <c r="L136" s="4">
        <v>0</v>
      </c>
      <c r="M136" s="12" t="s">
        <v>277</v>
      </c>
      <c r="N136" s="13">
        <v>6</v>
      </c>
    </row>
    <row r="137" spans="1:14" ht="20" customHeight="1">
      <c r="A137" s="4" t="s">
        <v>315</v>
      </c>
      <c r="B137" s="4" t="s">
        <v>316</v>
      </c>
      <c r="C137" s="6" t="s">
        <v>297</v>
      </c>
      <c r="D137" s="5" t="s">
        <v>317</v>
      </c>
      <c r="E137" s="4" t="s">
        <v>287</v>
      </c>
      <c r="F137" s="4" t="s">
        <v>318</v>
      </c>
      <c r="G137" s="4">
        <v>263006</v>
      </c>
      <c r="H137" s="4">
        <v>19</v>
      </c>
      <c r="I137" s="5" t="s">
        <v>121</v>
      </c>
      <c r="J137" s="4" t="s">
        <v>49</v>
      </c>
      <c r="K137" s="4">
        <v>65</v>
      </c>
      <c r="L137" s="4">
        <v>0</v>
      </c>
      <c r="M137" s="12" t="s">
        <v>277</v>
      </c>
      <c r="N137" s="13">
        <v>6</v>
      </c>
    </row>
    <row r="138" spans="1:14" ht="20" customHeight="1">
      <c r="A138" s="4" t="s">
        <v>315</v>
      </c>
      <c r="B138" s="4" t="s">
        <v>316</v>
      </c>
      <c r="C138" s="6" t="s">
        <v>297</v>
      </c>
      <c r="D138" s="5" t="s">
        <v>317</v>
      </c>
      <c r="E138" s="4" t="s">
        <v>287</v>
      </c>
      <c r="F138" s="4" t="s">
        <v>318</v>
      </c>
      <c r="G138" s="4">
        <v>278758</v>
      </c>
      <c r="H138" s="4">
        <v>16</v>
      </c>
      <c r="I138" s="5" t="s">
        <v>109</v>
      </c>
      <c r="J138" s="4" t="s">
        <v>282</v>
      </c>
      <c r="K138" s="4">
        <v>27</v>
      </c>
      <c r="L138" s="4">
        <v>0</v>
      </c>
      <c r="M138" s="12" t="s">
        <v>277</v>
      </c>
      <c r="N138" s="13">
        <v>7</v>
      </c>
    </row>
    <row r="139" spans="1:14" ht="20" customHeight="1">
      <c r="A139" s="4" t="s">
        <v>315</v>
      </c>
      <c r="B139" s="4" t="s">
        <v>316</v>
      </c>
      <c r="C139" s="6" t="s">
        <v>297</v>
      </c>
      <c r="D139" s="5" t="s">
        <v>317</v>
      </c>
      <c r="E139" s="4" t="s">
        <v>287</v>
      </c>
      <c r="F139" s="4" t="s">
        <v>318</v>
      </c>
      <c r="G139" s="4">
        <v>262498</v>
      </c>
      <c r="H139" s="4">
        <v>2</v>
      </c>
      <c r="I139" s="5" t="s">
        <v>44</v>
      </c>
      <c r="J139" s="4" t="s">
        <v>280</v>
      </c>
      <c r="K139" s="4">
        <v>27</v>
      </c>
      <c r="L139" s="4">
        <v>0</v>
      </c>
      <c r="M139" s="12" t="s">
        <v>277</v>
      </c>
      <c r="N139" s="13">
        <v>7</v>
      </c>
    </row>
    <row r="140" spans="1:14" ht="20" customHeight="1">
      <c r="A140" s="4" t="s">
        <v>315</v>
      </c>
      <c r="B140" s="4" t="s">
        <v>316</v>
      </c>
      <c r="C140" s="6" t="s">
        <v>297</v>
      </c>
      <c r="D140" s="5" t="s">
        <v>317</v>
      </c>
      <c r="E140" s="4" t="s">
        <v>287</v>
      </c>
      <c r="F140" s="4" t="s">
        <v>318</v>
      </c>
      <c r="G140" s="4">
        <v>245704</v>
      </c>
      <c r="H140" s="4">
        <v>20</v>
      </c>
      <c r="I140" s="5" t="s">
        <v>192</v>
      </c>
      <c r="J140" s="4" t="s">
        <v>278</v>
      </c>
      <c r="K140" s="4">
        <v>27</v>
      </c>
      <c r="L140" s="4">
        <v>0</v>
      </c>
      <c r="M140" s="12" t="s">
        <v>277</v>
      </c>
      <c r="N140" s="13">
        <v>6</v>
      </c>
    </row>
    <row r="141" spans="1:14" ht="20" customHeight="1">
      <c r="A141" s="4" t="s">
        <v>315</v>
      </c>
      <c r="B141" s="4" t="s">
        <v>316</v>
      </c>
      <c r="C141" s="6" t="s">
        <v>297</v>
      </c>
      <c r="D141" s="5" t="s">
        <v>317</v>
      </c>
      <c r="E141" s="4" t="s">
        <v>287</v>
      </c>
      <c r="F141" s="4" t="s">
        <v>318</v>
      </c>
      <c r="G141" s="4">
        <v>230134</v>
      </c>
      <c r="H141" s="4">
        <v>14</v>
      </c>
      <c r="I141" s="5" t="s">
        <v>171</v>
      </c>
      <c r="J141" s="4" t="s">
        <v>281</v>
      </c>
      <c r="K141" s="4">
        <v>24</v>
      </c>
      <c r="L141" s="4">
        <v>0</v>
      </c>
      <c r="M141" s="12" t="s">
        <v>277</v>
      </c>
      <c r="N141" s="13">
        <v>7</v>
      </c>
    </row>
    <row r="142" spans="1:14" ht="20" customHeight="1">
      <c r="A142" s="4" t="s">
        <v>315</v>
      </c>
      <c r="B142" s="4" t="s">
        <v>316</v>
      </c>
      <c r="C142" s="6" t="s">
        <v>297</v>
      </c>
      <c r="D142" s="5" t="s">
        <v>317</v>
      </c>
      <c r="E142" s="4" t="s">
        <v>287</v>
      </c>
      <c r="F142" s="4" t="s">
        <v>318</v>
      </c>
      <c r="G142" s="4">
        <v>79752</v>
      </c>
      <c r="H142" s="4">
        <v>18</v>
      </c>
      <c r="I142" s="5" t="s">
        <v>229</v>
      </c>
      <c r="J142" s="4" t="s">
        <v>281</v>
      </c>
      <c r="K142" s="4">
        <v>24</v>
      </c>
      <c r="L142" s="4">
        <v>0</v>
      </c>
      <c r="M142" s="12" t="s">
        <v>277</v>
      </c>
      <c r="N142" s="13">
        <v>6</v>
      </c>
    </row>
    <row r="143" spans="1:14" ht="20" customHeight="1">
      <c r="A143" s="4" t="s">
        <v>319</v>
      </c>
      <c r="B143" s="4" t="s">
        <v>320</v>
      </c>
      <c r="C143" s="6" t="s">
        <v>297</v>
      </c>
      <c r="D143" s="5" t="s">
        <v>321</v>
      </c>
      <c r="E143" s="4" t="s">
        <v>287</v>
      </c>
      <c r="F143" s="4" t="s">
        <v>322</v>
      </c>
      <c r="G143" s="4">
        <v>236393</v>
      </c>
      <c r="H143" s="4">
        <v>22</v>
      </c>
      <c r="I143" s="5" t="s">
        <v>137</v>
      </c>
      <c r="J143" s="4" t="s">
        <v>140</v>
      </c>
      <c r="K143" s="4">
        <v>90</v>
      </c>
      <c r="L143" s="12">
        <v>4</v>
      </c>
      <c r="M143" s="12" t="s">
        <v>277</v>
      </c>
      <c r="N143" s="13">
        <v>10</v>
      </c>
    </row>
    <row r="144" spans="1:14" ht="20" customHeight="1">
      <c r="A144" s="4" t="s">
        <v>319</v>
      </c>
      <c r="B144" s="4" t="s">
        <v>320</v>
      </c>
      <c r="C144" s="6" t="s">
        <v>297</v>
      </c>
      <c r="D144" s="5" t="s">
        <v>321</v>
      </c>
      <c r="E144" s="4" t="s">
        <v>287</v>
      </c>
      <c r="F144" s="4" t="s">
        <v>322</v>
      </c>
      <c r="G144" s="4">
        <v>276198</v>
      </c>
      <c r="H144" s="4">
        <v>25</v>
      </c>
      <c r="I144" s="5" t="s">
        <v>146</v>
      </c>
      <c r="J144" s="4" t="s">
        <v>149</v>
      </c>
      <c r="K144" s="4">
        <v>90</v>
      </c>
      <c r="L144" s="4">
        <v>0</v>
      </c>
      <c r="M144" s="12" t="s">
        <v>277</v>
      </c>
      <c r="N144" s="13">
        <v>8</v>
      </c>
    </row>
    <row r="145" spans="1:14" ht="20" customHeight="1">
      <c r="A145" s="4" t="s">
        <v>319</v>
      </c>
      <c r="B145" s="4" t="s">
        <v>320</v>
      </c>
      <c r="C145" s="6" t="s">
        <v>297</v>
      </c>
      <c r="D145" s="5" t="s">
        <v>321</v>
      </c>
      <c r="E145" s="4" t="s">
        <v>287</v>
      </c>
      <c r="F145" s="4" t="s">
        <v>322</v>
      </c>
      <c r="G145" s="4">
        <v>271955</v>
      </c>
      <c r="H145" s="4">
        <v>5</v>
      </c>
      <c r="I145" s="5" t="s">
        <v>70</v>
      </c>
      <c r="J145" s="4" t="s">
        <v>74</v>
      </c>
      <c r="K145" s="4">
        <v>90</v>
      </c>
      <c r="L145" s="4">
        <v>0</v>
      </c>
      <c r="M145" s="12" t="s">
        <v>277</v>
      </c>
      <c r="N145" s="13">
        <v>7</v>
      </c>
    </row>
    <row r="146" spans="1:14" ht="20" customHeight="1">
      <c r="A146" s="4" t="s">
        <v>319</v>
      </c>
      <c r="B146" s="4" t="s">
        <v>320</v>
      </c>
      <c r="C146" s="6" t="s">
        <v>297</v>
      </c>
      <c r="D146" s="5" t="s">
        <v>321</v>
      </c>
      <c r="E146" s="4" t="s">
        <v>287</v>
      </c>
      <c r="F146" s="4" t="s">
        <v>322</v>
      </c>
      <c r="G146" s="4">
        <v>266100</v>
      </c>
      <c r="H146" s="4">
        <v>6</v>
      </c>
      <c r="I146" s="5" t="s">
        <v>81</v>
      </c>
      <c r="J146" s="4" t="s">
        <v>50</v>
      </c>
      <c r="K146" s="4">
        <v>90</v>
      </c>
      <c r="L146" s="4">
        <v>0</v>
      </c>
      <c r="M146" s="12" t="s">
        <v>277</v>
      </c>
      <c r="N146" s="13">
        <v>7</v>
      </c>
    </row>
    <row r="147" spans="1:14" ht="20" customHeight="1">
      <c r="A147" s="4" t="s">
        <v>319</v>
      </c>
      <c r="B147" s="4" t="s">
        <v>320</v>
      </c>
      <c r="C147" s="6" t="s">
        <v>297</v>
      </c>
      <c r="D147" s="5" t="s">
        <v>321</v>
      </c>
      <c r="E147" s="4" t="s">
        <v>287</v>
      </c>
      <c r="F147" s="4" t="s">
        <v>322</v>
      </c>
      <c r="G147" s="4">
        <v>247500</v>
      </c>
      <c r="H147" s="4">
        <v>12</v>
      </c>
      <c r="I147" s="5" t="s">
        <v>102</v>
      </c>
      <c r="J147" s="4" t="s">
        <v>74</v>
      </c>
      <c r="K147" s="4">
        <v>90</v>
      </c>
      <c r="L147" s="4">
        <v>0</v>
      </c>
      <c r="M147" s="12" t="s">
        <v>277</v>
      </c>
      <c r="N147" s="13">
        <v>7</v>
      </c>
    </row>
    <row r="148" spans="1:14" ht="20" customHeight="1">
      <c r="A148" s="4" t="s">
        <v>319</v>
      </c>
      <c r="B148" s="4" t="s">
        <v>320</v>
      </c>
      <c r="C148" s="6" t="s">
        <v>297</v>
      </c>
      <c r="D148" s="5" t="s">
        <v>321</v>
      </c>
      <c r="E148" s="4" t="s">
        <v>287</v>
      </c>
      <c r="F148" s="4" t="s">
        <v>322</v>
      </c>
      <c r="G148" s="4">
        <v>279881</v>
      </c>
      <c r="H148" s="4">
        <v>21</v>
      </c>
      <c r="I148" s="5" t="s">
        <v>130</v>
      </c>
      <c r="J148" s="4" t="s">
        <v>50</v>
      </c>
      <c r="K148" s="4">
        <v>90</v>
      </c>
      <c r="L148" s="4">
        <v>0</v>
      </c>
      <c r="M148" s="12" t="s">
        <v>277</v>
      </c>
      <c r="N148" s="13">
        <v>7</v>
      </c>
    </row>
    <row r="149" spans="1:14" ht="20" customHeight="1">
      <c r="A149" s="4" t="s">
        <v>319</v>
      </c>
      <c r="B149" s="4" t="s">
        <v>320</v>
      </c>
      <c r="C149" s="6" t="s">
        <v>297</v>
      </c>
      <c r="D149" s="5" t="s">
        <v>321</v>
      </c>
      <c r="E149" s="4" t="s">
        <v>287</v>
      </c>
      <c r="F149" s="4" t="s">
        <v>322</v>
      </c>
      <c r="G149" s="4">
        <v>273022</v>
      </c>
      <c r="H149" s="4">
        <v>3</v>
      </c>
      <c r="I149" s="5" t="s">
        <v>59</v>
      </c>
      <c r="J149" s="4" t="s">
        <v>63</v>
      </c>
      <c r="K149" s="4">
        <v>77</v>
      </c>
      <c r="L149" s="4">
        <v>0</v>
      </c>
      <c r="M149" s="12" t="s">
        <v>277</v>
      </c>
      <c r="N149" s="13">
        <v>8</v>
      </c>
    </row>
    <row r="150" spans="1:14" ht="20" customHeight="1">
      <c r="A150" s="4" t="s">
        <v>319</v>
      </c>
      <c r="B150" s="4" t="s">
        <v>320</v>
      </c>
      <c r="C150" s="6" t="s">
        <v>297</v>
      </c>
      <c r="D150" s="5" t="s">
        <v>321</v>
      </c>
      <c r="E150" s="4" t="s">
        <v>287</v>
      </c>
      <c r="F150" s="4" t="s">
        <v>322</v>
      </c>
      <c r="G150" s="4">
        <v>275520</v>
      </c>
      <c r="H150" s="4">
        <v>8</v>
      </c>
      <c r="I150" s="5" t="s">
        <v>91</v>
      </c>
      <c r="J150" s="4" t="s">
        <v>50</v>
      </c>
      <c r="K150" s="4">
        <v>77</v>
      </c>
      <c r="L150" s="4">
        <v>0</v>
      </c>
      <c r="M150" s="12" t="s">
        <v>277</v>
      </c>
      <c r="N150" s="13">
        <v>7</v>
      </c>
    </row>
    <row r="151" spans="1:14" ht="20" customHeight="1">
      <c r="A151" s="4" t="s">
        <v>319</v>
      </c>
      <c r="B151" s="4" t="s">
        <v>320</v>
      </c>
      <c r="C151" s="6" t="s">
        <v>297</v>
      </c>
      <c r="D151" s="5" t="s">
        <v>321</v>
      </c>
      <c r="E151" s="4" t="s">
        <v>287</v>
      </c>
      <c r="F151" s="4" t="s">
        <v>322</v>
      </c>
      <c r="G151" s="4">
        <v>263006</v>
      </c>
      <c r="H151" s="4">
        <v>19</v>
      </c>
      <c r="I151" s="5" t="s">
        <v>121</v>
      </c>
      <c r="J151" s="4" t="s">
        <v>49</v>
      </c>
      <c r="K151" s="4">
        <v>77</v>
      </c>
      <c r="L151" s="4">
        <v>0</v>
      </c>
      <c r="M151" s="12" t="s">
        <v>277</v>
      </c>
      <c r="N151" s="13">
        <v>7</v>
      </c>
    </row>
    <row r="152" spans="1:14" ht="20" customHeight="1">
      <c r="A152" s="4" t="s">
        <v>319</v>
      </c>
      <c r="B152" s="4" t="s">
        <v>320</v>
      </c>
      <c r="C152" s="6" t="s">
        <v>297</v>
      </c>
      <c r="D152" s="5" t="s">
        <v>321</v>
      </c>
      <c r="E152" s="4" t="s">
        <v>287</v>
      </c>
      <c r="F152" s="4" t="s">
        <v>322</v>
      </c>
      <c r="G152" s="4">
        <v>278758</v>
      </c>
      <c r="H152" s="4">
        <v>16</v>
      </c>
      <c r="I152" s="5" t="s">
        <v>109</v>
      </c>
      <c r="J152" s="4" t="s">
        <v>114</v>
      </c>
      <c r="K152" s="4">
        <v>77</v>
      </c>
      <c r="L152" s="4">
        <v>0</v>
      </c>
      <c r="M152" s="12" t="s">
        <v>277</v>
      </c>
      <c r="N152" s="13">
        <v>7</v>
      </c>
    </row>
    <row r="153" spans="1:14" ht="20" customHeight="1">
      <c r="A153" s="4" t="s">
        <v>319</v>
      </c>
      <c r="B153" s="4" t="s">
        <v>320</v>
      </c>
      <c r="C153" s="6" t="s">
        <v>297</v>
      </c>
      <c r="D153" s="5" t="s">
        <v>321</v>
      </c>
      <c r="E153" s="4" t="s">
        <v>287</v>
      </c>
      <c r="F153" s="4" t="s">
        <v>322</v>
      </c>
      <c r="G153" s="4">
        <v>262498</v>
      </c>
      <c r="H153" s="4">
        <v>2</v>
      </c>
      <c r="I153" s="5" t="s">
        <v>44</v>
      </c>
      <c r="J153" s="4" t="s">
        <v>125</v>
      </c>
      <c r="K153" s="4">
        <v>77</v>
      </c>
      <c r="L153" s="4">
        <v>0</v>
      </c>
      <c r="M153" s="12" t="s">
        <v>277</v>
      </c>
      <c r="N153" s="13">
        <v>7</v>
      </c>
    </row>
    <row r="154" spans="1:14" ht="20" customHeight="1">
      <c r="A154" s="4" t="s">
        <v>319</v>
      </c>
      <c r="B154" s="4" t="s">
        <v>320</v>
      </c>
      <c r="C154" s="6" t="s">
        <v>297</v>
      </c>
      <c r="D154" s="5" t="s">
        <v>321</v>
      </c>
      <c r="E154" s="4" t="s">
        <v>287</v>
      </c>
      <c r="F154" s="4" t="s">
        <v>322</v>
      </c>
      <c r="G154" s="4">
        <v>241505</v>
      </c>
      <c r="H154" s="4">
        <v>17</v>
      </c>
      <c r="I154" s="5" t="s">
        <v>184</v>
      </c>
      <c r="J154" s="4" t="s">
        <v>280</v>
      </c>
      <c r="K154" s="4">
        <v>14</v>
      </c>
      <c r="L154" s="4">
        <v>0</v>
      </c>
      <c r="M154" s="12" t="s">
        <v>277</v>
      </c>
      <c r="N154" s="13">
        <v>8</v>
      </c>
    </row>
    <row r="155" spans="1:14" ht="20" customHeight="1">
      <c r="A155" s="4" t="s">
        <v>319</v>
      </c>
      <c r="B155" s="4" t="s">
        <v>320</v>
      </c>
      <c r="C155" s="6" t="s">
        <v>297</v>
      </c>
      <c r="D155" s="5" t="s">
        <v>321</v>
      </c>
      <c r="E155" s="4" t="s">
        <v>287</v>
      </c>
      <c r="F155" s="4" t="s">
        <v>322</v>
      </c>
      <c r="G155" s="4">
        <v>230134</v>
      </c>
      <c r="H155" s="4">
        <v>14</v>
      </c>
      <c r="I155" s="5" t="s">
        <v>171</v>
      </c>
      <c r="J155" s="4" t="s">
        <v>281</v>
      </c>
      <c r="K155" s="4">
        <v>14</v>
      </c>
      <c r="L155" s="12">
        <v>1</v>
      </c>
      <c r="M155" s="12" t="s">
        <v>277</v>
      </c>
      <c r="N155" s="13">
        <v>7</v>
      </c>
    </row>
    <row r="156" spans="1:14" ht="20" customHeight="1">
      <c r="A156" s="4" t="s">
        <v>319</v>
      </c>
      <c r="B156" s="4" t="s">
        <v>320</v>
      </c>
      <c r="C156" s="6" t="s">
        <v>297</v>
      </c>
      <c r="D156" s="5" t="s">
        <v>321</v>
      </c>
      <c r="E156" s="4" t="s">
        <v>287</v>
      </c>
      <c r="F156" s="4" t="s">
        <v>322</v>
      </c>
      <c r="G156" s="4">
        <v>75437</v>
      </c>
      <c r="H156" s="4">
        <v>29</v>
      </c>
      <c r="I156" s="5" t="s">
        <v>200</v>
      </c>
      <c r="J156" s="4" t="s">
        <v>323</v>
      </c>
      <c r="K156" s="4">
        <v>14</v>
      </c>
      <c r="L156" s="4">
        <v>0</v>
      </c>
      <c r="M156" s="12" t="s">
        <v>277</v>
      </c>
      <c r="N156" s="13">
        <v>7</v>
      </c>
    </row>
    <row r="157" spans="1:14" ht="20" customHeight="1">
      <c r="A157" s="4" t="s">
        <v>319</v>
      </c>
      <c r="B157" s="4" t="s">
        <v>320</v>
      </c>
      <c r="C157" s="6" t="s">
        <v>297</v>
      </c>
      <c r="D157" s="5" t="s">
        <v>321</v>
      </c>
      <c r="E157" s="4" t="s">
        <v>287</v>
      </c>
      <c r="F157" s="4" t="s">
        <v>322</v>
      </c>
      <c r="G157" s="4">
        <v>279603</v>
      </c>
      <c r="H157" s="4">
        <v>15</v>
      </c>
      <c r="I157" s="5" t="s">
        <v>178</v>
      </c>
      <c r="J157" s="4" t="s">
        <v>283</v>
      </c>
      <c r="K157" s="4">
        <v>14</v>
      </c>
      <c r="L157" s="4">
        <v>0</v>
      </c>
      <c r="M157" s="12" t="s">
        <v>277</v>
      </c>
      <c r="N157" s="13">
        <v>6</v>
      </c>
    </row>
    <row r="158" spans="1:14" ht="20" customHeight="1">
      <c r="A158" s="4" t="s">
        <v>319</v>
      </c>
      <c r="B158" s="4" t="s">
        <v>320</v>
      </c>
      <c r="C158" s="6" t="s">
        <v>297</v>
      </c>
      <c r="D158" s="5" t="s">
        <v>321</v>
      </c>
      <c r="E158" s="4" t="s">
        <v>287</v>
      </c>
      <c r="F158" s="4" t="s">
        <v>322</v>
      </c>
      <c r="G158" s="4">
        <v>245704</v>
      </c>
      <c r="H158" s="4">
        <v>20</v>
      </c>
      <c r="I158" s="5" t="s">
        <v>192</v>
      </c>
      <c r="J158" s="4" t="s">
        <v>278</v>
      </c>
      <c r="K158" s="4">
        <v>14</v>
      </c>
      <c r="L158" s="4">
        <v>0</v>
      </c>
      <c r="M158" s="12" t="s">
        <v>277</v>
      </c>
      <c r="N158" s="13">
        <v>6</v>
      </c>
    </row>
    <row r="159" spans="1:14" ht="20" customHeight="1">
      <c r="A159" s="4" t="s">
        <v>324</v>
      </c>
      <c r="B159" s="4" t="s">
        <v>325</v>
      </c>
      <c r="C159" s="6" t="s">
        <v>297</v>
      </c>
      <c r="D159" s="5" t="s">
        <v>326</v>
      </c>
      <c r="E159" s="4" t="s">
        <v>275</v>
      </c>
      <c r="F159" s="4" t="s">
        <v>276</v>
      </c>
      <c r="G159" s="4">
        <v>236393</v>
      </c>
      <c r="H159" s="4">
        <v>22</v>
      </c>
      <c r="I159" s="5" t="s">
        <v>137</v>
      </c>
      <c r="J159" s="4" t="s">
        <v>140</v>
      </c>
      <c r="K159" s="4">
        <v>90</v>
      </c>
      <c r="L159" s="12">
        <v>1</v>
      </c>
      <c r="M159" s="4">
        <v>0</v>
      </c>
      <c r="N159" s="13">
        <v>7.7</v>
      </c>
    </row>
    <row r="160" spans="1:14" ht="20" customHeight="1">
      <c r="A160" s="4" t="s">
        <v>324</v>
      </c>
      <c r="B160" s="4" t="s">
        <v>325</v>
      </c>
      <c r="C160" s="6" t="s">
        <v>297</v>
      </c>
      <c r="D160" s="5" t="s">
        <v>326</v>
      </c>
      <c r="E160" s="4" t="s">
        <v>275</v>
      </c>
      <c r="F160" s="4" t="s">
        <v>276</v>
      </c>
      <c r="G160" s="4">
        <v>241505</v>
      </c>
      <c r="H160" s="4">
        <v>17</v>
      </c>
      <c r="I160" s="5" t="s">
        <v>184</v>
      </c>
      <c r="J160" s="4" t="s">
        <v>49</v>
      </c>
      <c r="K160" s="4">
        <v>90</v>
      </c>
      <c r="L160" s="4">
        <v>0</v>
      </c>
      <c r="M160" s="12" t="s">
        <v>277</v>
      </c>
      <c r="N160" s="13">
        <v>7.2</v>
      </c>
    </row>
    <row r="161" spans="1:14" ht="20" customHeight="1">
      <c r="A161" s="4" t="s">
        <v>324</v>
      </c>
      <c r="B161" s="4" t="s">
        <v>325</v>
      </c>
      <c r="C161" s="6" t="s">
        <v>297</v>
      </c>
      <c r="D161" s="5" t="s">
        <v>326</v>
      </c>
      <c r="E161" s="4" t="s">
        <v>275</v>
      </c>
      <c r="F161" s="4" t="s">
        <v>276</v>
      </c>
      <c r="G161" s="4">
        <v>228707</v>
      </c>
      <c r="H161" s="4">
        <v>23</v>
      </c>
      <c r="I161" s="5" t="s">
        <v>235</v>
      </c>
      <c r="J161" s="4" t="s">
        <v>74</v>
      </c>
      <c r="K161" s="4">
        <v>90</v>
      </c>
      <c r="L161" s="4">
        <v>0</v>
      </c>
      <c r="M161" s="4">
        <v>0</v>
      </c>
      <c r="N161" s="13">
        <v>6.7</v>
      </c>
    </row>
    <row r="162" spans="1:14" ht="20" customHeight="1">
      <c r="A162" s="4" t="s">
        <v>324</v>
      </c>
      <c r="B162" s="4" t="s">
        <v>325</v>
      </c>
      <c r="C162" s="6" t="s">
        <v>297</v>
      </c>
      <c r="D162" s="5" t="s">
        <v>326</v>
      </c>
      <c r="E162" s="4" t="s">
        <v>275</v>
      </c>
      <c r="F162" s="4" t="s">
        <v>276</v>
      </c>
      <c r="G162" s="4">
        <v>79703</v>
      </c>
      <c r="H162" s="4">
        <v>4</v>
      </c>
      <c r="I162" s="5" t="s">
        <v>156</v>
      </c>
      <c r="J162" s="4" t="s">
        <v>74</v>
      </c>
      <c r="K162" s="4">
        <v>90</v>
      </c>
      <c r="L162" s="4">
        <v>0</v>
      </c>
      <c r="M162" s="4">
        <v>0</v>
      </c>
      <c r="N162" s="13">
        <v>6.3</v>
      </c>
    </row>
    <row r="163" spans="1:14" ht="20" customHeight="1">
      <c r="A163" s="4" t="s">
        <v>324</v>
      </c>
      <c r="B163" s="4" t="s">
        <v>325</v>
      </c>
      <c r="C163" s="6" t="s">
        <v>297</v>
      </c>
      <c r="D163" s="5" t="s">
        <v>326</v>
      </c>
      <c r="E163" s="4" t="s">
        <v>275</v>
      </c>
      <c r="F163" s="4" t="s">
        <v>276</v>
      </c>
      <c r="G163" s="4">
        <v>265405</v>
      </c>
      <c r="H163" s="4">
        <v>13</v>
      </c>
      <c r="I163" s="5" t="s">
        <v>164</v>
      </c>
      <c r="J163" s="4" t="s">
        <v>149</v>
      </c>
      <c r="K163" s="4">
        <v>90</v>
      </c>
      <c r="L163" s="4">
        <v>0</v>
      </c>
      <c r="M163" s="4">
        <v>0</v>
      </c>
      <c r="N163" s="13">
        <v>6</v>
      </c>
    </row>
    <row r="164" spans="1:14" ht="20" customHeight="1">
      <c r="A164" s="4" t="s">
        <v>324</v>
      </c>
      <c r="B164" s="4" t="s">
        <v>325</v>
      </c>
      <c r="C164" s="6" t="s">
        <v>297</v>
      </c>
      <c r="D164" s="5" t="s">
        <v>326</v>
      </c>
      <c r="E164" s="4" t="s">
        <v>275</v>
      </c>
      <c r="F164" s="4" t="s">
        <v>276</v>
      </c>
      <c r="G164" s="4">
        <v>245704</v>
      </c>
      <c r="H164" s="4">
        <v>20</v>
      </c>
      <c r="I164" s="5" t="s">
        <v>192</v>
      </c>
      <c r="J164" s="4" t="s">
        <v>125</v>
      </c>
      <c r="K164" s="4">
        <v>90</v>
      </c>
      <c r="L164" s="4">
        <v>0</v>
      </c>
      <c r="M164" s="4">
        <v>0</v>
      </c>
      <c r="N164" s="13">
        <v>6</v>
      </c>
    </row>
    <row r="165" spans="1:14" ht="20" customHeight="1">
      <c r="A165" s="4" t="s">
        <v>324</v>
      </c>
      <c r="B165" s="4" t="s">
        <v>325</v>
      </c>
      <c r="C165" s="6" t="s">
        <v>297</v>
      </c>
      <c r="D165" s="5" t="s">
        <v>326</v>
      </c>
      <c r="E165" s="4" t="s">
        <v>275</v>
      </c>
      <c r="F165" s="4" t="s">
        <v>276</v>
      </c>
      <c r="G165" s="4">
        <v>274828</v>
      </c>
      <c r="H165" s="4">
        <v>7</v>
      </c>
      <c r="I165" s="5" t="s">
        <v>207</v>
      </c>
      <c r="J165" s="4" t="s">
        <v>63</v>
      </c>
      <c r="K165" s="4">
        <v>76</v>
      </c>
      <c r="L165" s="4">
        <v>0</v>
      </c>
      <c r="M165" s="12" t="s">
        <v>277</v>
      </c>
      <c r="N165" s="13">
        <v>7.5</v>
      </c>
    </row>
    <row r="166" spans="1:14" ht="20" customHeight="1">
      <c r="A166" s="4" t="s">
        <v>324</v>
      </c>
      <c r="B166" s="4" t="s">
        <v>325</v>
      </c>
      <c r="C166" s="6" t="s">
        <v>297</v>
      </c>
      <c r="D166" s="5" t="s">
        <v>326</v>
      </c>
      <c r="E166" s="4" t="s">
        <v>275</v>
      </c>
      <c r="F166" s="4" t="s">
        <v>276</v>
      </c>
      <c r="G166" s="4">
        <v>278758</v>
      </c>
      <c r="H166" s="4">
        <v>16</v>
      </c>
      <c r="I166" s="5" t="s">
        <v>109</v>
      </c>
      <c r="J166" s="4" t="s">
        <v>114</v>
      </c>
      <c r="K166" s="4">
        <v>76</v>
      </c>
      <c r="L166" s="4">
        <v>0</v>
      </c>
      <c r="M166" s="12" t="s">
        <v>277</v>
      </c>
      <c r="N166" s="13">
        <v>7</v>
      </c>
    </row>
    <row r="167" spans="1:14" ht="20" customHeight="1">
      <c r="A167" s="4" t="s">
        <v>324</v>
      </c>
      <c r="B167" s="4" t="s">
        <v>325</v>
      </c>
      <c r="C167" s="6" t="s">
        <v>297</v>
      </c>
      <c r="D167" s="5" t="s">
        <v>326</v>
      </c>
      <c r="E167" s="4" t="s">
        <v>275</v>
      </c>
      <c r="F167" s="4" t="s">
        <v>276</v>
      </c>
      <c r="G167" s="4">
        <v>79752</v>
      </c>
      <c r="H167" s="4">
        <v>18</v>
      </c>
      <c r="I167" s="5" t="s">
        <v>229</v>
      </c>
      <c r="J167" s="4" t="s">
        <v>50</v>
      </c>
      <c r="K167" s="4">
        <v>76</v>
      </c>
      <c r="L167" s="4">
        <v>0</v>
      </c>
      <c r="M167" s="4">
        <v>0</v>
      </c>
      <c r="N167" s="13">
        <v>6.9</v>
      </c>
    </row>
    <row r="168" spans="1:14" ht="20" customHeight="1">
      <c r="A168" s="4" t="s">
        <v>324</v>
      </c>
      <c r="B168" s="4" t="s">
        <v>325</v>
      </c>
      <c r="C168" s="6" t="s">
        <v>297</v>
      </c>
      <c r="D168" s="5" t="s">
        <v>326</v>
      </c>
      <c r="E168" s="4" t="s">
        <v>275</v>
      </c>
      <c r="F168" s="4" t="s">
        <v>276</v>
      </c>
      <c r="G168" s="4">
        <v>230134</v>
      </c>
      <c r="H168" s="4">
        <v>14</v>
      </c>
      <c r="I168" s="5" t="s">
        <v>171</v>
      </c>
      <c r="J168" s="4" t="s">
        <v>50</v>
      </c>
      <c r="K168" s="4">
        <v>76</v>
      </c>
      <c r="L168" s="4">
        <v>0</v>
      </c>
      <c r="M168" s="4">
        <v>0</v>
      </c>
      <c r="N168" s="13">
        <v>6.7</v>
      </c>
    </row>
    <row r="169" spans="1:14" ht="20" customHeight="1">
      <c r="A169" s="4" t="s">
        <v>324</v>
      </c>
      <c r="B169" s="4" t="s">
        <v>325</v>
      </c>
      <c r="C169" s="6" t="s">
        <v>297</v>
      </c>
      <c r="D169" s="5" t="s">
        <v>326</v>
      </c>
      <c r="E169" s="4" t="s">
        <v>275</v>
      </c>
      <c r="F169" s="4" t="s">
        <v>276</v>
      </c>
      <c r="G169" s="4">
        <v>85904</v>
      </c>
      <c r="H169" s="4">
        <v>30</v>
      </c>
      <c r="I169" s="5" t="s">
        <v>249</v>
      </c>
      <c r="J169" s="4" t="s">
        <v>50</v>
      </c>
      <c r="K169" s="4">
        <v>76</v>
      </c>
      <c r="L169" s="4">
        <v>0</v>
      </c>
      <c r="M169" s="4">
        <v>0</v>
      </c>
      <c r="N169" s="13">
        <v>6.6</v>
      </c>
    </row>
    <row r="170" spans="1:14" ht="20" customHeight="1">
      <c r="A170" s="4" t="s">
        <v>324</v>
      </c>
      <c r="B170" s="4" t="s">
        <v>325</v>
      </c>
      <c r="C170" s="6" t="s">
        <v>297</v>
      </c>
      <c r="D170" s="5" t="s">
        <v>326</v>
      </c>
      <c r="E170" s="4" t="s">
        <v>275</v>
      </c>
      <c r="F170" s="4" t="s">
        <v>276</v>
      </c>
      <c r="G170" s="4">
        <v>275520</v>
      </c>
      <c r="H170" s="4">
        <v>8</v>
      </c>
      <c r="I170" s="5" t="s">
        <v>91</v>
      </c>
      <c r="J170" s="4" t="s">
        <v>50</v>
      </c>
      <c r="K170" s="4">
        <v>16</v>
      </c>
      <c r="L170" s="4">
        <v>0</v>
      </c>
      <c r="M170" s="12" t="s">
        <v>277</v>
      </c>
      <c r="N170" s="13">
        <v>6.1</v>
      </c>
    </row>
    <row r="171" spans="1:14" ht="20" customHeight="1">
      <c r="A171" s="4" t="s">
        <v>324</v>
      </c>
      <c r="B171" s="4" t="s">
        <v>325</v>
      </c>
      <c r="C171" s="6" t="s">
        <v>297</v>
      </c>
      <c r="D171" s="5" t="s">
        <v>326</v>
      </c>
      <c r="E171" s="4" t="s">
        <v>275</v>
      </c>
      <c r="F171" s="4" t="s">
        <v>276</v>
      </c>
      <c r="G171" s="4">
        <v>266100</v>
      </c>
      <c r="H171" s="4">
        <v>6</v>
      </c>
      <c r="I171" s="5" t="s">
        <v>81</v>
      </c>
      <c r="J171" s="4" t="s">
        <v>50</v>
      </c>
      <c r="K171" s="4">
        <v>16</v>
      </c>
      <c r="L171" s="4">
        <v>0</v>
      </c>
      <c r="M171" s="12" t="s">
        <v>277</v>
      </c>
      <c r="N171" s="13">
        <v>6.1</v>
      </c>
    </row>
    <row r="172" spans="1:14" ht="20" customHeight="1">
      <c r="A172" s="4" t="s">
        <v>324</v>
      </c>
      <c r="B172" s="4" t="s">
        <v>325</v>
      </c>
      <c r="C172" s="6" t="s">
        <v>297</v>
      </c>
      <c r="D172" s="5" t="s">
        <v>326</v>
      </c>
      <c r="E172" s="4" t="s">
        <v>275</v>
      </c>
      <c r="F172" s="4" t="s">
        <v>276</v>
      </c>
      <c r="G172" s="4">
        <v>75437</v>
      </c>
      <c r="H172" s="4">
        <v>29</v>
      </c>
      <c r="I172" s="5" t="s">
        <v>200</v>
      </c>
      <c r="J172" s="4" t="s">
        <v>323</v>
      </c>
      <c r="K172" s="4">
        <v>16</v>
      </c>
      <c r="L172" s="4">
        <v>0</v>
      </c>
      <c r="M172" s="12" t="s">
        <v>277</v>
      </c>
      <c r="N172" s="13">
        <v>6</v>
      </c>
    </row>
    <row r="173" spans="1:14" ht="20" customHeight="1">
      <c r="A173" s="4" t="s">
        <v>324</v>
      </c>
      <c r="B173" s="4" t="s">
        <v>325</v>
      </c>
      <c r="C173" s="6" t="s">
        <v>297</v>
      </c>
      <c r="D173" s="5" t="s">
        <v>326</v>
      </c>
      <c r="E173" s="4" t="s">
        <v>275</v>
      </c>
      <c r="F173" s="4" t="s">
        <v>276</v>
      </c>
      <c r="G173" s="4">
        <v>279603</v>
      </c>
      <c r="H173" s="4">
        <v>15</v>
      </c>
      <c r="I173" s="5" t="s">
        <v>178</v>
      </c>
      <c r="J173" s="4" t="s">
        <v>283</v>
      </c>
      <c r="K173" s="4">
        <v>16</v>
      </c>
      <c r="L173" s="4">
        <v>0</v>
      </c>
      <c r="M173" s="12" t="s">
        <v>277</v>
      </c>
      <c r="N173" s="13">
        <v>6</v>
      </c>
    </row>
    <row r="174" spans="1:14" ht="20" customHeight="1">
      <c r="A174" s="4" t="s">
        <v>324</v>
      </c>
      <c r="B174" s="4" t="s">
        <v>325</v>
      </c>
      <c r="C174" s="6" t="s">
        <v>297</v>
      </c>
      <c r="D174" s="5" t="s">
        <v>326</v>
      </c>
      <c r="E174" s="4" t="s">
        <v>275</v>
      </c>
      <c r="F174" s="4" t="s">
        <v>276</v>
      </c>
      <c r="G174" s="4">
        <v>262498</v>
      </c>
      <c r="H174" s="4">
        <v>2</v>
      </c>
      <c r="I174" s="5" t="s">
        <v>44</v>
      </c>
      <c r="J174" s="4" t="s">
        <v>125</v>
      </c>
      <c r="K174" s="4">
        <v>16</v>
      </c>
      <c r="L174" s="4">
        <v>0</v>
      </c>
      <c r="M174" s="12" t="s">
        <v>277</v>
      </c>
      <c r="N174" s="13">
        <v>5.9</v>
      </c>
    </row>
    <row r="175" spans="1:14" ht="20" customHeight="1">
      <c r="A175" s="4" t="s">
        <v>327</v>
      </c>
      <c r="B175" s="4" t="s">
        <v>328</v>
      </c>
      <c r="C175" s="6" t="s">
        <v>297</v>
      </c>
      <c r="D175" s="5" t="s">
        <v>329</v>
      </c>
      <c r="E175" s="4" t="s">
        <v>287</v>
      </c>
      <c r="F175" s="4" t="s">
        <v>330</v>
      </c>
      <c r="G175" s="4">
        <v>236393</v>
      </c>
      <c r="H175" s="4">
        <v>22</v>
      </c>
      <c r="I175" s="5" t="s">
        <v>137</v>
      </c>
      <c r="J175" s="4" t="s">
        <v>140</v>
      </c>
      <c r="K175" s="4">
        <v>90</v>
      </c>
      <c r="L175" s="12">
        <v>4</v>
      </c>
      <c r="M175" s="4">
        <v>0</v>
      </c>
      <c r="N175" s="13">
        <v>10</v>
      </c>
    </row>
    <row r="176" spans="1:14" ht="20" customHeight="1">
      <c r="A176" s="4" t="s">
        <v>327</v>
      </c>
      <c r="B176" s="4" t="s">
        <v>328</v>
      </c>
      <c r="C176" s="6" t="s">
        <v>297</v>
      </c>
      <c r="D176" s="5" t="s">
        <v>329</v>
      </c>
      <c r="E176" s="4" t="s">
        <v>287</v>
      </c>
      <c r="F176" s="4" t="s">
        <v>330</v>
      </c>
      <c r="G176" s="4">
        <v>278758</v>
      </c>
      <c r="H176" s="4">
        <v>16</v>
      </c>
      <c r="I176" s="5" t="s">
        <v>109</v>
      </c>
      <c r="J176" s="4" t="s">
        <v>114</v>
      </c>
      <c r="K176" s="4">
        <v>90</v>
      </c>
      <c r="L176" s="4">
        <v>0</v>
      </c>
      <c r="M176" s="12" t="s">
        <v>277</v>
      </c>
      <c r="N176" s="13">
        <v>7.4</v>
      </c>
    </row>
    <row r="177" spans="1:14" ht="20" customHeight="1">
      <c r="A177" s="4" t="s">
        <v>327</v>
      </c>
      <c r="B177" s="4" t="s">
        <v>328</v>
      </c>
      <c r="C177" s="6" t="s">
        <v>297</v>
      </c>
      <c r="D177" s="5" t="s">
        <v>329</v>
      </c>
      <c r="E177" s="4" t="s">
        <v>287</v>
      </c>
      <c r="F177" s="4" t="s">
        <v>330</v>
      </c>
      <c r="G177" s="4">
        <v>271955</v>
      </c>
      <c r="H177" s="4">
        <v>5</v>
      </c>
      <c r="I177" s="5" t="s">
        <v>70</v>
      </c>
      <c r="J177" s="4" t="s">
        <v>74</v>
      </c>
      <c r="K177" s="4">
        <v>90</v>
      </c>
      <c r="L177" s="4">
        <v>0</v>
      </c>
      <c r="M177" s="4">
        <v>0</v>
      </c>
      <c r="N177" s="13">
        <v>7.2</v>
      </c>
    </row>
    <row r="178" spans="1:14" ht="20" customHeight="1">
      <c r="A178" s="4" t="s">
        <v>327</v>
      </c>
      <c r="B178" s="4" t="s">
        <v>328</v>
      </c>
      <c r="C178" s="6" t="s">
        <v>297</v>
      </c>
      <c r="D178" s="5" t="s">
        <v>329</v>
      </c>
      <c r="E178" s="4" t="s">
        <v>287</v>
      </c>
      <c r="F178" s="4" t="s">
        <v>330</v>
      </c>
      <c r="G178" s="4">
        <v>276198</v>
      </c>
      <c r="H178" s="4">
        <v>25</v>
      </c>
      <c r="I178" s="5" t="s">
        <v>146</v>
      </c>
      <c r="J178" s="4" t="s">
        <v>149</v>
      </c>
      <c r="K178" s="4">
        <v>90</v>
      </c>
      <c r="L178" s="4">
        <v>0</v>
      </c>
      <c r="M178" s="4">
        <v>0</v>
      </c>
      <c r="N178" s="13">
        <v>7</v>
      </c>
    </row>
    <row r="179" spans="1:14" ht="20" customHeight="1">
      <c r="A179" s="4" t="s">
        <v>327</v>
      </c>
      <c r="B179" s="4" t="s">
        <v>328</v>
      </c>
      <c r="C179" s="6" t="s">
        <v>297</v>
      </c>
      <c r="D179" s="5" t="s">
        <v>329</v>
      </c>
      <c r="E179" s="4" t="s">
        <v>287</v>
      </c>
      <c r="F179" s="4" t="s">
        <v>330</v>
      </c>
      <c r="G179" s="4">
        <v>247500</v>
      </c>
      <c r="H179" s="4">
        <v>12</v>
      </c>
      <c r="I179" s="5" t="s">
        <v>102</v>
      </c>
      <c r="J179" s="4" t="s">
        <v>74</v>
      </c>
      <c r="K179" s="4">
        <v>90</v>
      </c>
      <c r="L179" s="4">
        <v>0</v>
      </c>
      <c r="M179" s="4">
        <v>0</v>
      </c>
      <c r="N179" s="13">
        <v>7</v>
      </c>
    </row>
    <row r="180" spans="1:14" ht="20" customHeight="1">
      <c r="A180" s="4" t="s">
        <v>327</v>
      </c>
      <c r="B180" s="4" t="s">
        <v>328</v>
      </c>
      <c r="C180" s="6" t="s">
        <v>297</v>
      </c>
      <c r="D180" s="5" t="s">
        <v>329</v>
      </c>
      <c r="E180" s="4" t="s">
        <v>287</v>
      </c>
      <c r="F180" s="4" t="s">
        <v>330</v>
      </c>
      <c r="G180" s="4">
        <v>279881</v>
      </c>
      <c r="H180" s="4">
        <v>21</v>
      </c>
      <c r="I180" s="5" t="s">
        <v>130</v>
      </c>
      <c r="J180" s="4" t="s">
        <v>50</v>
      </c>
      <c r="K180" s="4">
        <v>90</v>
      </c>
      <c r="L180" s="4">
        <v>0</v>
      </c>
      <c r="M180" s="12">
        <v>2</v>
      </c>
      <c r="N180" s="13">
        <v>7</v>
      </c>
    </row>
    <row r="181" spans="1:14" ht="20" customHeight="1">
      <c r="A181" s="4" t="s">
        <v>327</v>
      </c>
      <c r="B181" s="4" t="s">
        <v>328</v>
      </c>
      <c r="C181" s="6" t="s">
        <v>297</v>
      </c>
      <c r="D181" s="5" t="s">
        <v>329</v>
      </c>
      <c r="E181" s="4" t="s">
        <v>287</v>
      </c>
      <c r="F181" s="4" t="s">
        <v>330</v>
      </c>
      <c r="G181" s="4">
        <v>266100</v>
      </c>
      <c r="H181" s="4">
        <v>6</v>
      </c>
      <c r="I181" s="5" t="s">
        <v>81</v>
      </c>
      <c r="J181" s="4" t="s">
        <v>50</v>
      </c>
      <c r="K181" s="4">
        <v>83</v>
      </c>
      <c r="L181" s="4">
        <v>0</v>
      </c>
      <c r="M181" s="12" t="s">
        <v>277</v>
      </c>
      <c r="N181" s="13">
        <v>8.9</v>
      </c>
    </row>
    <row r="182" spans="1:14" ht="20" customHeight="1">
      <c r="A182" s="4" t="s">
        <v>327</v>
      </c>
      <c r="B182" s="4" t="s">
        <v>328</v>
      </c>
      <c r="C182" s="6" t="s">
        <v>297</v>
      </c>
      <c r="D182" s="5" t="s">
        <v>329</v>
      </c>
      <c r="E182" s="4" t="s">
        <v>287</v>
      </c>
      <c r="F182" s="4" t="s">
        <v>330</v>
      </c>
      <c r="G182" s="4">
        <v>262498</v>
      </c>
      <c r="H182" s="4">
        <v>2</v>
      </c>
      <c r="I182" s="5" t="s">
        <v>44</v>
      </c>
      <c r="J182" s="4" t="s">
        <v>125</v>
      </c>
      <c r="K182" s="4">
        <v>83</v>
      </c>
      <c r="L182" s="4">
        <v>0</v>
      </c>
      <c r="M182" s="12" t="s">
        <v>277</v>
      </c>
      <c r="N182" s="13">
        <v>7.8</v>
      </c>
    </row>
    <row r="183" spans="1:14" ht="20" customHeight="1">
      <c r="A183" s="4" t="s">
        <v>327</v>
      </c>
      <c r="B183" s="4" t="s">
        <v>328</v>
      </c>
      <c r="C183" s="6" t="s">
        <v>297</v>
      </c>
      <c r="D183" s="5" t="s">
        <v>329</v>
      </c>
      <c r="E183" s="4" t="s">
        <v>287</v>
      </c>
      <c r="F183" s="4" t="s">
        <v>330</v>
      </c>
      <c r="G183" s="4">
        <v>275520</v>
      </c>
      <c r="H183" s="4">
        <v>8</v>
      </c>
      <c r="I183" s="5" t="s">
        <v>91</v>
      </c>
      <c r="J183" s="4" t="s">
        <v>50</v>
      </c>
      <c r="K183" s="4">
        <v>83</v>
      </c>
      <c r="L183" s="4">
        <v>0</v>
      </c>
      <c r="M183" s="12" t="s">
        <v>277</v>
      </c>
      <c r="N183" s="13">
        <v>7</v>
      </c>
    </row>
    <row r="184" spans="1:14" ht="20" customHeight="1">
      <c r="A184" s="4" t="s">
        <v>327</v>
      </c>
      <c r="B184" s="4" t="s">
        <v>328</v>
      </c>
      <c r="C184" s="6" t="s">
        <v>297</v>
      </c>
      <c r="D184" s="5" t="s">
        <v>329</v>
      </c>
      <c r="E184" s="4" t="s">
        <v>287</v>
      </c>
      <c r="F184" s="4" t="s">
        <v>330</v>
      </c>
      <c r="G184" s="4">
        <v>273022</v>
      </c>
      <c r="H184" s="4">
        <v>3</v>
      </c>
      <c r="I184" s="5" t="s">
        <v>59</v>
      </c>
      <c r="J184" s="4" t="s">
        <v>63</v>
      </c>
      <c r="K184" s="4">
        <v>83</v>
      </c>
      <c r="L184" s="4">
        <v>0</v>
      </c>
      <c r="M184" s="12">
        <v>4</v>
      </c>
      <c r="N184" s="13">
        <v>7</v>
      </c>
    </row>
    <row r="185" spans="1:14" ht="20" customHeight="1">
      <c r="A185" s="4" t="s">
        <v>327</v>
      </c>
      <c r="B185" s="4" t="s">
        <v>328</v>
      </c>
      <c r="C185" s="6" t="s">
        <v>297</v>
      </c>
      <c r="D185" s="5" t="s">
        <v>329</v>
      </c>
      <c r="E185" s="4" t="s">
        <v>287</v>
      </c>
      <c r="F185" s="4" t="s">
        <v>330</v>
      </c>
      <c r="G185" s="4">
        <v>263006</v>
      </c>
      <c r="H185" s="4">
        <v>19</v>
      </c>
      <c r="I185" s="5" t="s">
        <v>121</v>
      </c>
      <c r="J185" s="4" t="s">
        <v>49</v>
      </c>
      <c r="K185" s="4">
        <v>83</v>
      </c>
      <c r="L185" s="4">
        <v>0</v>
      </c>
      <c r="M185" s="12" t="s">
        <v>277</v>
      </c>
      <c r="N185" s="13">
        <v>6.9</v>
      </c>
    </row>
    <row r="186" spans="1:14" ht="20" customHeight="1">
      <c r="A186" s="4" t="s">
        <v>327</v>
      </c>
      <c r="B186" s="4" t="s">
        <v>328</v>
      </c>
      <c r="C186" s="6" t="s">
        <v>297</v>
      </c>
      <c r="D186" s="5" t="s">
        <v>329</v>
      </c>
      <c r="E186" s="4" t="s">
        <v>287</v>
      </c>
      <c r="F186" s="4" t="s">
        <v>330</v>
      </c>
      <c r="G186" s="4">
        <v>241505</v>
      </c>
      <c r="H186" s="4">
        <v>17</v>
      </c>
      <c r="I186" s="5" t="s">
        <v>184</v>
      </c>
      <c r="J186" s="4" t="s">
        <v>280</v>
      </c>
      <c r="K186" s="4">
        <v>8</v>
      </c>
      <c r="L186" s="4">
        <v>0</v>
      </c>
      <c r="M186" s="12" t="s">
        <v>277</v>
      </c>
      <c r="N186" s="13">
        <v>6.6</v>
      </c>
    </row>
    <row r="187" spans="1:14" ht="20" customHeight="1">
      <c r="A187" s="4" t="s">
        <v>327</v>
      </c>
      <c r="B187" s="4" t="s">
        <v>328</v>
      </c>
      <c r="C187" s="6" t="s">
        <v>297</v>
      </c>
      <c r="D187" s="5" t="s">
        <v>329</v>
      </c>
      <c r="E187" s="4" t="s">
        <v>287</v>
      </c>
      <c r="F187" s="4" t="s">
        <v>330</v>
      </c>
      <c r="G187" s="4">
        <v>230134</v>
      </c>
      <c r="H187" s="4">
        <v>14</v>
      </c>
      <c r="I187" s="5" t="s">
        <v>171</v>
      </c>
      <c r="J187" s="4" t="s">
        <v>281</v>
      </c>
      <c r="K187" s="4">
        <v>8</v>
      </c>
      <c r="L187" s="4">
        <v>0</v>
      </c>
      <c r="M187" s="4">
        <v>0</v>
      </c>
      <c r="N187" s="13">
        <v>6.5</v>
      </c>
    </row>
    <row r="188" spans="1:14" ht="20" customHeight="1">
      <c r="A188" s="4" t="s">
        <v>327</v>
      </c>
      <c r="B188" s="4" t="s">
        <v>328</v>
      </c>
      <c r="C188" s="6" t="s">
        <v>297</v>
      </c>
      <c r="D188" s="5" t="s">
        <v>329</v>
      </c>
      <c r="E188" s="4" t="s">
        <v>287</v>
      </c>
      <c r="F188" s="4" t="s">
        <v>330</v>
      </c>
      <c r="G188" s="4">
        <v>279603</v>
      </c>
      <c r="H188" s="4">
        <v>15</v>
      </c>
      <c r="I188" s="5" t="s">
        <v>178</v>
      </c>
      <c r="J188" s="4" t="s">
        <v>283</v>
      </c>
      <c r="K188" s="4">
        <v>8</v>
      </c>
      <c r="L188" s="4">
        <v>0</v>
      </c>
      <c r="M188" s="12" t="s">
        <v>277</v>
      </c>
      <c r="N188" s="13">
        <v>6.2</v>
      </c>
    </row>
    <row r="189" spans="1:14" ht="20" customHeight="1">
      <c r="A189" s="4" t="s">
        <v>327</v>
      </c>
      <c r="B189" s="4" t="s">
        <v>328</v>
      </c>
      <c r="C189" s="6" t="s">
        <v>297</v>
      </c>
      <c r="D189" s="5" t="s">
        <v>329</v>
      </c>
      <c r="E189" s="4" t="s">
        <v>287</v>
      </c>
      <c r="F189" s="4" t="s">
        <v>330</v>
      </c>
      <c r="G189" s="4">
        <v>245704</v>
      </c>
      <c r="H189" s="4">
        <v>20</v>
      </c>
      <c r="I189" s="5" t="s">
        <v>192</v>
      </c>
      <c r="J189" s="4" t="s">
        <v>278</v>
      </c>
      <c r="K189" s="4">
        <v>8</v>
      </c>
      <c r="L189" s="4">
        <v>0</v>
      </c>
      <c r="M189" s="4">
        <v>0</v>
      </c>
      <c r="N189" s="13">
        <v>5.9</v>
      </c>
    </row>
    <row r="190" spans="1:14" ht="20" customHeight="1">
      <c r="A190" s="4" t="s">
        <v>327</v>
      </c>
      <c r="B190" s="4" t="s">
        <v>328</v>
      </c>
      <c r="C190" s="6" t="s">
        <v>297</v>
      </c>
      <c r="D190" s="5" t="s">
        <v>329</v>
      </c>
      <c r="E190" s="4" t="s">
        <v>287</v>
      </c>
      <c r="F190" s="4" t="s">
        <v>330</v>
      </c>
      <c r="G190" s="4">
        <v>79752</v>
      </c>
      <c r="H190" s="4">
        <v>18</v>
      </c>
      <c r="I190" s="5" t="s">
        <v>229</v>
      </c>
      <c r="J190" s="4" t="s">
        <v>281</v>
      </c>
      <c r="K190" s="4">
        <v>8</v>
      </c>
      <c r="L190" s="4">
        <v>0</v>
      </c>
      <c r="M190" s="4">
        <v>0</v>
      </c>
      <c r="N190" s="13">
        <v>5.8</v>
      </c>
    </row>
    <row r="191" spans="1:14" ht="20" customHeight="1">
      <c r="A191" s="4" t="s">
        <v>331</v>
      </c>
      <c r="B191" s="4" t="s">
        <v>332</v>
      </c>
      <c r="C191" s="6" t="s">
        <v>297</v>
      </c>
      <c r="D191" s="5" t="s">
        <v>333</v>
      </c>
      <c r="E191" s="4" t="s">
        <v>275</v>
      </c>
      <c r="F191" s="4" t="s">
        <v>334</v>
      </c>
      <c r="G191" s="4">
        <v>230134</v>
      </c>
      <c r="H191" s="4">
        <v>14</v>
      </c>
      <c r="I191" s="5" t="s">
        <v>171</v>
      </c>
      <c r="J191" s="4" t="s">
        <v>50</v>
      </c>
      <c r="K191" s="4">
        <v>90</v>
      </c>
      <c r="L191" s="12">
        <v>2</v>
      </c>
      <c r="M191" s="4">
        <v>0</v>
      </c>
      <c r="N191" s="13">
        <v>7.9</v>
      </c>
    </row>
    <row r="192" spans="1:14" ht="20" customHeight="1">
      <c r="A192" s="4" t="s">
        <v>331</v>
      </c>
      <c r="B192" s="4" t="s">
        <v>332</v>
      </c>
      <c r="C192" s="6" t="s">
        <v>297</v>
      </c>
      <c r="D192" s="5" t="s">
        <v>333</v>
      </c>
      <c r="E192" s="4" t="s">
        <v>275</v>
      </c>
      <c r="F192" s="4" t="s">
        <v>334</v>
      </c>
      <c r="G192" s="4">
        <v>79703</v>
      </c>
      <c r="H192" s="4">
        <v>4</v>
      </c>
      <c r="I192" s="5" t="s">
        <v>156</v>
      </c>
      <c r="J192" s="4" t="s">
        <v>74</v>
      </c>
      <c r="K192" s="4">
        <v>90</v>
      </c>
      <c r="L192" s="4">
        <v>0</v>
      </c>
      <c r="M192" s="4">
        <v>0</v>
      </c>
      <c r="N192" s="13">
        <v>7.2</v>
      </c>
    </row>
    <row r="193" spans="1:14" ht="20" customHeight="1">
      <c r="A193" s="4" t="s">
        <v>331</v>
      </c>
      <c r="B193" s="4" t="s">
        <v>332</v>
      </c>
      <c r="C193" s="6" t="s">
        <v>297</v>
      </c>
      <c r="D193" s="5" t="s">
        <v>333</v>
      </c>
      <c r="E193" s="4" t="s">
        <v>275</v>
      </c>
      <c r="F193" s="4" t="s">
        <v>334</v>
      </c>
      <c r="G193" s="4">
        <v>277311</v>
      </c>
      <c r="H193" s="4">
        <v>10</v>
      </c>
      <c r="I193" s="5" t="s">
        <v>215</v>
      </c>
      <c r="J193" s="4" t="s">
        <v>50</v>
      </c>
      <c r="K193" s="4">
        <v>90</v>
      </c>
      <c r="L193" s="4">
        <v>0</v>
      </c>
      <c r="M193" s="4">
        <v>0</v>
      </c>
      <c r="N193" s="13">
        <v>7.2</v>
      </c>
    </row>
    <row r="194" spans="1:14" ht="20" customHeight="1">
      <c r="A194" s="4" t="s">
        <v>331</v>
      </c>
      <c r="B194" s="4" t="s">
        <v>332</v>
      </c>
      <c r="C194" s="6" t="s">
        <v>297</v>
      </c>
      <c r="D194" s="5" t="s">
        <v>333</v>
      </c>
      <c r="E194" s="4" t="s">
        <v>275</v>
      </c>
      <c r="F194" s="4" t="s">
        <v>334</v>
      </c>
      <c r="G194" s="4">
        <v>228707</v>
      </c>
      <c r="H194" s="4">
        <v>23</v>
      </c>
      <c r="I194" s="5" t="s">
        <v>235</v>
      </c>
      <c r="J194" s="4" t="s">
        <v>74</v>
      </c>
      <c r="K194" s="4">
        <v>90</v>
      </c>
      <c r="L194" s="4">
        <v>0</v>
      </c>
      <c r="M194" s="4">
        <v>0</v>
      </c>
      <c r="N194" s="13">
        <v>6.5</v>
      </c>
    </row>
    <row r="195" spans="1:14" ht="20" customHeight="1">
      <c r="A195" s="4" t="s">
        <v>331</v>
      </c>
      <c r="B195" s="4" t="s">
        <v>332</v>
      </c>
      <c r="C195" s="6" t="s">
        <v>297</v>
      </c>
      <c r="D195" s="5" t="s">
        <v>333</v>
      </c>
      <c r="E195" s="4" t="s">
        <v>275</v>
      </c>
      <c r="F195" s="4" t="s">
        <v>334</v>
      </c>
      <c r="G195" s="4">
        <v>79752</v>
      </c>
      <c r="H195" s="4">
        <v>18</v>
      </c>
      <c r="I195" s="5" t="s">
        <v>229</v>
      </c>
      <c r="J195" s="4" t="s">
        <v>50</v>
      </c>
      <c r="K195" s="4">
        <v>90</v>
      </c>
      <c r="L195" s="4">
        <v>0</v>
      </c>
      <c r="M195" s="4">
        <v>0</v>
      </c>
      <c r="N195" s="13">
        <v>6.4</v>
      </c>
    </row>
    <row r="196" spans="1:14" ht="20" customHeight="1">
      <c r="A196" s="4" t="s">
        <v>331</v>
      </c>
      <c r="B196" s="4" t="s">
        <v>332</v>
      </c>
      <c r="C196" s="6" t="s">
        <v>297</v>
      </c>
      <c r="D196" s="5" t="s">
        <v>333</v>
      </c>
      <c r="E196" s="4" t="s">
        <v>275</v>
      </c>
      <c r="F196" s="4" t="s">
        <v>334</v>
      </c>
      <c r="G196" s="4">
        <v>265405</v>
      </c>
      <c r="H196" s="4">
        <v>13</v>
      </c>
      <c r="I196" s="5" t="s">
        <v>164</v>
      </c>
      <c r="J196" s="4" t="s">
        <v>149</v>
      </c>
      <c r="K196" s="4">
        <v>90</v>
      </c>
      <c r="L196" s="4">
        <v>0</v>
      </c>
      <c r="M196" s="4">
        <v>0</v>
      </c>
      <c r="N196" s="13">
        <v>5.6</v>
      </c>
    </row>
    <row r="197" spans="1:14" ht="20" customHeight="1">
      <c r="A197" s="4" t="s">
        <v>331</v>
      </c>
      <c r="B197" s="4" t="s">
        <v>332</v>
      </c>
      <c r="C197" s="6" t="s">
        <v>297</v>
      </c>
      <c r="D197" s="5" t="s">
        <v>333</v>
      </c>
      <c r="E197" s="4" t="s">
        <v>275</v>
      </c>
      <c r="F197" s="4" t="s">
        <v>334</v>
      </c>
      <c r="G197" s="4">
        <v>279603</v>
      </c>
      <c r="H197" s="4">
        <v>15</v>
      </c>
      <c r="I197" s="5" t="s">
        <v>178</v>
      </c>
      <c r="J197" s="4" t="s">
        <v>63</v>
      </c>
      <c r="K197" s="4">
        <v>71</v>
      </c>
      <c r="L197" s="4">
        <v>0</v>
      </c>
      <c r="M197" s="12" t="s">
        <v>277</v>
      </c>
      <c r="N197" s="13">
        <v>8.699999999999999</v>
      </c>
    </row>
    <row r="198" spans="1:14" ht="20" customHeight="1">
      <c r="A198" s="4" t="s">
        <v>331</v>
      </c>
      <c r="B198" s="4" t="s">
        <v>332</v>
      </c>
      <c r="C198" s="6" t="s">
        <v>297</v>
      </c>
      <c r="D198" s="5" t="s">
        <v>333</v>
      </c>
      <c r="E198" s="4" t="s">
        <v>275</v>
      </c>
      <c r="F198" s="4" t="s">
        <v>334</v>
      </c>
      <c r="G198" s="4">
        <v>245704</v>
      </c>
      <c r="H198" s="4">
        <v>20</v>
      </c>
      <c r="I198" s="5" t="s">
        <v>192</v>
      </c>
      <c r="J198" s="4" t="s">
        <v>125</v>
      </c>
      <c r="K198" s="4">
        <v>71</v>
      </c>
      <c r="L198" s="4">
        <v>0</v>
      </c>
      <c r="M198" s="4">
        <v>0</v>
      </c>
      <c r="N198" s="13">
        <v>7.8</v>
      </c>
    </row>
    <row r="199" spans="1:14" ht="20" customHeight="1">
      <c r="A199" s="4" t="s">
        <v>331</v>
      </c>
      <c r="B199" s="4" t="s">
        <v>332</v>
      </c>
      <c r="C199" s="6" t="s">
        <v>297</v>
      </c>
      <c r="D199" s="5" t="s">
        <v>333</v>
      </c>
      <c r="E199" s="4" t="s">
        <v>275</v>
      </c>
      <c r="F199" s="4" t="s">
        <v>334</v>
      </c>
      <c r="G199" s="4">
        <v>274828</v>
      </c>
      <c r="H199" s="4">
        <v>7</v>
      </c>
      <c r="I199" s="5" t="s">
        <v>207</v>
      </c>
      <c r="J199" s="4" t="s">
        <v>63</v>
      </c>
      <c r="K199" s="4">
        <v>71</v>
      </c>
      <c r="L199" s="4">
        <v>0</v>
      </c>
      <c r="M199" s="12" t="s">
        <v>277</v>
      </c>
      <c r="N199" s="13">
        <v>7.5</v>
      </c>
    </row>
    <row r="200" spans="1:14" ht="20" customHeight="1">
      <c r="A200" s="4" t="s">
        <v>331</v>
      </c>
      <c r="B200" s="4" t="s">
        <v>332</v>
      </c>
      <c r="C200" s="6" t="s">
        <v>297</v>
      </c>
      <c r="D200" s="5" t="s">
        <v>333</v>
      </c>
      <c r="E200" s="4" t="s">
        <v>275</v>
      </c>
      <c r="F200" s="4" t="s">
        <v>334</v>
      </c>
      <c r="G200" s="4">
        <v>241505</v>
      </c>
      <c r="H200" s="4">
        <v>17</v>
      </c>
      <c r="I200" s="5" t="s">
        <v>184</v>
      </c>
      <c r="J200" s="4" t="s">
        <v>49</v>
      </c>
      <c r="K200" s="4">
        <v>71</v>
      </c>
      <c r="L200" s="4">
        <v>0</v>
      </c>
      <c r="M200" s="12" t="s">
        <v>277</v>
      </c>
      <c r="N200" s="13">
        <v>6.7</v>
      </c>
    </row>
    <row r="201" spans="1:14" ht="20" customHeight="1">
      <c r="A201" s="4" t="s">
        <v>331</v>
      </c>
      <c r="B201" s="4" t="s">
        <v>332</v>
      </c>
      <c r="C201" s="6" t="s">
        <v>297</v>
      </c>
      <c r="D201" s="5" t="s">
        <v>333</v>
      </c>
      <c r="E201" s="4" t="s">
        <v>275</v>
      </c>
      <c r="F201" s="4" t="s">
        <v>334</v>
      </c>
      <c r="G201" s="4">
        <v>260044</v>
      </c>
      <c r="H201" s="4">
        <v>11</v>
      </c>
      <c r="I201" s="5" t="s">
        <v>221</v>
      </c>
      <c r="J201" s="4" t="s">
        <v>140</v>
      </c>
      <c r="K201" s="4">
        <v>71</v>
      </c>
      <c r="L201" s="4">
        <v>0</v>
      </c>
      <c r="M201" s="4">
        <v>0</v>
      </c>
      <c r="N201" s="13">
        <v>6.5</v>
      </c>
    </row>
    <row r="202" spans="1:14" ht="20" customHeight="1">
      <c r="A202" s="4" t="s">
        <v>331</v>
      </c>
      <c r="B202" s="4" t="s">
        <v>332</v>
      </c>
      <c r="C202" s="6" t="s">
        <v>297</v>
      </c>
      <c r="D202" s="5" t="s">
        <v>333</v>
      </c>
      <c r="E202" s="4" t="s">
        <v>275</v>
      </c>
      <c r="F202" s="4" t="s">
        <v>334</v>
      </c>
      <c r="G202" s="4">
        <v>278758</v>
      </c>
      <c r="H202" s="4">
        <v>16</v>
      </c>
      <c r="I202" s="5" t="s">
        <v>109</v>
      </c>
      <c r="J202" s="4" t="s">
        <v>114</v>
      </c>
      <c r="K202" s="4">
        <v>21</v>
      </c>
      <c r="L202" s="4">
        <v>0</v>
      </c>
      <c r="M202" s="12" t="s">
        <v>277</v>
      </c>
      <c r="N202" s="13">
        <v>7.3</v>
      </c>
    </row>
    <row r="203" spans="1:14" ht="20" customHeight="1">
      <c r="A203" s="4" t="s">
        <v>331</v>
      </c>
      <c r="B203" s="4" t="s">
        <v>332</v>
      </c>
      <c r="C203" s="6" t="s">
        <v>297</v>
      </c>
      <c r="D203" s="5" t="s">
        <v>333</v>
      </c>
      <c r="E203" s="4" t="s">
        <v>275</v>
      </c>
      <c r="F203" s="4" t="s">
        <v>334</v>
      </c>
      <c r="G203" s="4">
        <v>236393</v>
      </c>
      <c r="H203" s="4">
        <v>22</v>
      </c>
      <c r="I203" s="5" t="s">
        <v>137</v>
      </c>
      <c r="J203" s="4" t="s">
        <v>140</v>
      </c>
      <c r="K203" s="4">
        <v>21</v>
      </c>
      <c r="L203" s="12">
        <v>1</v>
      </c>
      <c r="M203" s="4">
        <v>0</v>
      </c>
      <c r="N203" s="13">
        <v>7</v>
      </c>
    </row>
    <row r="204" spans="1:14" ht="20" customHeight="1">
      <c r="A204" s="4" t="s">
        <v>331</v>
      </c>
      <c r="B204" s="4" t="s">
        <v>332</v>
      </c>
      <c r="C204" s="6" t="s">
        <v>297</v>
      </c>
      <c r="D204" s="5" t="s">
        <v>333</v>
      </c>
      <c r="E204" s="4" t="s">
        <v>275</v>
      </c>
      <c r="F204" s="4" t="s">
        <v>334</v>
      </c>
      <c r="G204" s="4">
        <v>263006</v>
      </c>
      <c r="H204" s="4">
        <v>19</v>
      </c>
      <c r="I204" s="5" t="s">
        <v>121</v>
      </c>
      <c r="J204" s="4" t="s">
        <v>49</v>
      </c>
      <c r="K204" s="4">
        <v>21</v>
      </c>
      <c r="L204" s="4">
        <v>0</v>
      </c>
      <c r="M204" s="12" t="s">
        <v>277</v>
      </c>
      <c r="N204" s="13">
        <v>6.3</v>
      </c>
    </row>
    <row r="205" spans="1:14" ht="20" customHeight="1">
      <c r="A205" s="4" t="s">
        <v>331</v>
      </c>
      <c r="B205" s="4" t="s">
        <v>332</v>
      </c>
      <c r="C205" s="6" t="s">
        <v>297</v>
      </c>
      <c r="D205" s="5" t="s">
        <v>333</v>
      </c>
      <c r="E205" s="4" t="s">
        <v>275</v>
      </c>
      <c r="F205" s="4" t="s">
        <v>334</v>
      </c>
      <c r="G205" s="4">
        <v>75437</v>
      </c>
      <c r="H205" s="4">
        <v>29</v>
      </c>
      <c r="I205" s="5" t="s">
        <v>200</v>
      </c>
      <c r="J205" s="4" t="s">
        <v>323</v>
      </c>
      <c r="K205" s="4">
        <v>21</v>
      </c>
      <c r="L205" s="4">
        <v>0</v>
      </c>
      <c r="M205" s="12" t="s">
        <v>277</v>
      </c>
      <c r="N205" s="13">
        <v>5.9</v>
      </c>
    </row>
    <row r="206" spans="1:14" ht="20" customHeight="1">
      <c r="A206" s="4" t="s">
        <v>331</v>
      </c>
      <c r="B206" s="4" t="s">
        <v>332</v>
      </c>
      <c r="C206" s="6" t="s">
        <v>297</v>
      </c>
      <c r="D206" s="5" t="s">
        <v>333</v>
      </c>
      <c r="E206" s="4" t="s">
        <v>275</v>
      </c>
      <c r="F206" s="4" t="s">
        <v>334</v>
      </c>
      <c r="G206" s="4">
        <v>262498</v>
      </c>
      <c r="H206" s="4">
        <v>2</v>
      </c>
      <c r="I206" s="5" t="s">
        <v>44</v>
      </c>
      <c r="J206" s="4" t="s">
        <v>125</v>
      </c>
      <c r="K206" s="4">
        <v>21</v>
      </c>
      <c r="L206" s="4">
        <v>0</v>
      </c>
      <c r="M206" s="12" t="s">
        <v>277</v>
      </c>
      <c r="N206" s="13">
        <v>5.9</v>
      </c>
    </row>
  </sheetData>
  <autoFilter ref="A4:N206"/>
  <mergeCells count="2">
    <mergeCell ref="A1:N1"/>
    <mergeCell ref="A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8.7109375" customWidth="1"/>
    <col min="2" max="2" width="13.7109375" customWidth="1"/>
    <col min="3" max="3" width="34.7109375" customWidth="1"/>
    <col min="4" max="4" width="26.7109375" customWidth="1"/>
    <col min="5" max="5" width="10.7109375" customWidth="1"/>
    <col min="6" max="6" width="22.7109375" customWidth="1"/>
    <col min="7" max="7" width="12.7109375" customWidth="1"/>
    <col min="8" max="8" width="22.7109375" customWidth="1"/>
    <col min="9" max="9" width="13.7109375" customWidth="1"/>
    <col min="10" max="10" width="36.7109375" customWidth="1"/>
    <col min="11" max="11" width="22.7109375" customWidth="1"/>
  </cols>
  <sheetData>
    <row r="1" spans="1:11" ht="28" customHeight="1">
      <c r="A1" s="1" t="s">
        <v>335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2" t="s">
        <v>336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ht="28" customHeight="1">
      <c r="A4" s="3" t="s">
        <v>337</v>
      </c>
      <c r="B4" s="3" t="s">
        <v>260</v>
      </c>
      <c r="C4" s="3" t="s">
        <v>261</v>
      </c>
      <c r="D4" s="3" t="s">
        <v>338</v>
      </c>
      <c r="E4" s="3" t="s">
        <v>263</v>
      </c>
      <c r="F4" s="3" t="s">
        <v>339</v>
      </c>
      <c r="G4" s="3" t="s">
        <v>264</v>
      </c>
      <c r="H4" s="3" t="s">
        <v>340</v>
      </c>
      <c r="I4" s="3" t="s">
        <v>341</v>
      </c>
      <c r="J4" s="3" t="s">
        <v>342</v>
      </c>
      <c r="K4" s="3" t="s">
        <v>343</v>
      </c>
    </row>
    <row r="5" spans="1:11" ht="22" customHeight="1">
      <c r="A5" s="4" t="s">
        <v>271</v>
      </c>
      <c r="B5" s="4" t="s">
        <v>272</v>
      </c>
      <c r="C5" s="6" t="s">
        <v>273</v>
      </c>
      <c r="D5" s="6" t="s">
        <v>344</v>
      </c>
      <c r="E5" s="4" t="s">
        <v>275</v>
      </c>
      <c r="F5" s="5" t="s">
        <v>345</v>
      </c>
      <c r="G5" s="12" t="s">
        <v>276</v>
      </c>
      <c r="H5" s="5" t="s">
        <v>274</v>
      </c>
      <c r="I5" s="4" t="s">
        <v>346</v>
      </c>
      <c r="J5" s="6" t="s">
        <v>347</v>
      </c>
      <c r="K5" s="4" t="s">
        <v>146</v>
      </c>
    </row>
    <row r="6" spans="1:11" ht="22" customHeight="1">
      <c r="A6" s="4" t="s">
        <v>284</v>
      </c>
      <c r="B6" s="4" t="s">
        <v>285</v>
      </c>
      <c r="C6" s="6" t="s">
        <v>273</v>
      </c>
      <c r="D6" s="6" t="s">
        <v>348</v>
      </c>
      <c r="E6" s="4" t="s">
        <v>287</v>
      </c>
      <c r="F6" s="5" t="s">
        <v>286</v>
      </c>
      <c r="G6" s="12" t="s">
        <v>288</v>
      </c>
      <c r="H6" s="5" t="s">
        <v>345</v>
      </c>
      <c r="I6" s="4" t="s">
        <v>349</v>
      </c>
      <c r="J6" s="6" t="s">
        <v>350</v>
      </c>
      <c r="K6" s="4" t="s">
        <v>164</v>
      </c>
    </row>
    <row r="7" spans="1:11" ht="22" customHeight="1">
      <c r="A7" s="4" t="s">
        <v>289</v>
      </c>
      <c r="B7" s="4" t="s">
        <v>290</v>
      </c>
      <c r="C7" s="6" t="s">
        <v>273</v>
      </c>
      <c r="D7" s="6" t="s">
        <v>351</v>
      </c>
      <c r="E7" s="4" t="s">
        <v>275</v>
      </c>
      <c r="F7" s="5" t="s">
        <v>345</v>
      </c>
      <c r="G7" s="12" t="s">
        <v>292</v>
      </c>
      <c r="H7" s="5" t="s">
        <v>291</v>
      </c>
      <c r="I7" s="4" t="s">
        <v>349</v>
      </c>
      <c r="J7" s="6" t="s">
        <v>352</v>
      </c>
      <c r="K7" s="4" t="s">
        <v>146</v>
      </c>
    </row>
    <row r="8" spans="1:11" ht="22" customHeight="1">
      <c r="A8" s="4" t="s">
        <v>295</v>
      </c>
      <c r="B8" s="4" t="s">
        <v>296</v>
      </c>
      <c r="C8" s="6" t="s">
        <v>297</v>
      </c>
      <c r="D8" s="6" t="s">
        <v>353</v>
      </c>
      <c r="E8" s="4" t="s">
        <v>287</v>
      </c>
      <c r="F8" s="5" t="s">
        <v>298</v>
      </c>
      <c r="G8" s="12" t="s">
        <v>288</v>
      </c>
      <c r="H8" s="5" t="s">
        <v>345</v>
      </c>
      <c r="I8" s="4" t="s">
        <v>349</v>
      </c>
      <c r="J8" s="6" t="s">
        <v>354</v>
      </c>
      <c r="K8" s="4" t="s">
        <v>146</v>
      </c>
    </row>
    <row r="9" spans="1:11" ht="22" customHeight="1">
      <c r="A9" s="4" t="s">
        <v>300</v>
      </c>
      <c r="B9" s="4" t="s">
        <v>301</v>
      </c>
      <c r="C9" s="6" t="s">
        <v>297</v>
      </c>
      <c r="D9" s="6" t="s">
        <v>355</v>
      </c>
      <c r="E9" s="4" t="s">
        <v>287</v>
      </c>
      <c r="F9" s="5" t="s">
        <v>302</v>
      </c>
      <c r="G9" s="12" t="s">
        <v>303</v>
      </c>
      <c r="H9" s="5" t="s">
        <v>345</v>
      </c>
      <c r="I9" s="4" t="s">
        <v>349</v>
      </c>
      <c r="J9" s="6" t="s">
        <v>356</v>
      </c>
      <c r="K9" s="4" t="s">
        <v>146</v>
      </c>
    </row>
    <row r="10" spans="1:11" ht="22" customHeight="1">
      <c r="A10" s="4" t="s">
        <v>304</v>
      </c>
      <c r="B10" s="4" t="s">
        <v>305</v>
      </c>
      <c r="C10" s="6" t="s">
        <v>297</v>
      </c>
      <c r="D10" s="6" t="s">
        <v>357</v>
      </c>
      <c r="E10" s="4" t="s">
        <v>275</v>
      </c>
      <c r="F10" s="5" t="s">
        <v>345</v>
      </c>
      <c r="G10" s="12" t="s">
        <v>276</v>
      </c>
      <c r="H10" s="5" t="s">
        <v>306</v>
      </c>
      <c r="I10" s="4" t="s">
        <v>346</v>
      </c>
      <c r="J10" s="6" t="s">
        <v>358</v>
      </c>
      <c r="K10" s="4" t="s">
        <v>164</v>
      </c>
    </row>
    <row r="11" spans="1:11" ht="22" customHeight="1">
      <c r="A11" s="4" t="s">
        <v>307</v>
      </c>
      <c r="B11" s="4" t="s">
        <v>308</v>
      </c>
      <c r="C11" s="6" t="s">
        <v>297</v>
      </c>
      <c r="D11" s="6" t="s">
        <v>359</v>
      </c>
      <c r="E11" s="4" t="s">
        <v>275</v>
      </c>
      <c r="F11" s="5" t="s">
        <v>345</v>
      </c>
      <c r="G11" s="12" t="s">
        <v>310</v>
      </c>
      <c r="H11" s="5" t="s">
        <v>309</v>
      </c>
      <c r="I11" s="4" t="s">
        <v>349</v>
      </c>
      <c r="J11" s="6" t="s">
        <v>360</v>
      </c>
      <c r="K11" s="4" t="s">
        <v>164</v>
      </c>
    </row>
    <row r="12" spans="1:11" ht="22" customHeight="1">
      <c r="A12" s="4" t="s">
        <v>311</v>
      </c>
      <c r="B12" s="4" t="s">
        <v>312</v>
      </c>
      <c r="C12" s="6" t="s">
        <v>297</v>
      </c>
      <c r="D12" s="6" t="s">
        <v>361</v>
      </c>
      <c r="E12" s="4" t="s">
        <v>275</v>
      </c>
      <c r="F12" s="5" t="s">
        <v>345</v>
      </c>
      <c r="G12" s="12" t="s">
        <v>314</v>
      </c>
      <c r="H12" s="5" t="s">
        <v>313</v>
      </c>
      <c r="I12" s="4" t="s">
        <v>346</v>
      </c>
      <c r="J12" s="6" t="s">
        <v>362</v>
      </c>
      <c r="K12" s="4" t="s">
        <v>146</v>
      </c>
    </row>
    <row r="13" spans="1:11" ht="22" customHeight="1">
      <c r="A13" s="4" t="s">
        <v>315</v>
      </c>
      <c r="B13" s="4" t="s">
        <v>316</v>
      </c>
      <c r="C13" s="6" t="s">
        <v>297</v>
      </c>
      <c r="D13" s="6" t="s">
        <v>363</v>
      </c>
      <c r="E13" s="4" t="s">
        <v>287</v>
      </c>
      <c r="F13" s="5" t="s">
        <v>317</v>
      </c>
      <c r="G13" s="12" t="s">
        <v>318</v>
      </c>
      <c r="H13" s="5" t="s">
        <v>345</v>
      </c>
      <c r="I13" s="4" t="s">
        <v>349</v>
      </c>
      <c r="J13" s="6" t="s">
        <v>347</v>
      </c>
      <c r="K13" s="4" t="s">
        <v>146</v>
      </c>
    </row>
    <row r="14" spans="1:11" ht="22" customHeight="1">
      <c r="A14" s="4" t="s">
        <v>319</v>
      </c>
      <c r="B14" s="4" t="s">
        <v>320</v>
      </c>
      <c r="C14" s="6" t="s">
        <v>297</v>
      </c>
      <c r="D14" s="6" t="s">
        <v>364</v>
      </c>
      <c r="E14" s="4" t="s">
        <v>287</v>
      </c>
      <c r="F14" s="5" t="s">
        <v>321</v>
      </c>
      <c r="G14" s="12" t="s">
        <v>322</v>
      </c>
      <c r="H14" s="5" t="s">
        <v>345</v>
      </c>
      <c r="I14" s="4" t="s">
        <v>349</v>
      </c>
      <c r="J14" s="6" t="s">
        <v>365</v>
      </c>
      <c r="K14" s="4" t="s">
        <v>146</v>
      </c>
    </row>
    <row r="15" spans="1:11" ht="22" customHeight="1">
      <c r="A15" s="4" t="s">
        <v>324</v>
      </c>
      <c r="B15" s="4" t="s">
        <v>325</v>
      </c>
      <c r="C15" s="6" t="s">
        <v>297</v>
      </c>
      <c r="D15" s="6" t="s">
        <v>366</v>
      </c>
      <c r="E15" s="4" t="s">
        <v>275</v>
      </c>
      <c r="F15" s="5" t="s">
        <v>345</v>
      </c>
      <c r="G15" s="12" t="s">
        <v>276</v>
      </c>
      <c r="H15" s="5" t="s">
        <v>326</v>
      </c>
      <c r="I15" s="4" t="s">
        <v>346</v>
      </c>
      <c r="J15" s="6" t="s">
        <v>367</v>
      </c>
      <c r="K15" s="4" t="s">
        <v>164</v>
      </c>
    </row>
    <row r="16" spans="1:11" ht="22" customHeight="1">
      <c r="A16" s="4" t="s">
        <v>327</v>
      </c>
      <c r="B16" s="4" t="s">
        <v>328</v>
      </c>
      <c r="C16" s="6" t="s">
        <v>297</v>
      </c>
      <c r="D16" s="6" t="s">
        <v>368</v>
      </c>
      <c r="E16" s="4" t="s">
        <v>287</v>
      </c>
      <c r="F16" s="5" t="s">
        <v>329</v>
      </c>
      <c r="G16" s="12" t="s">
        <v>330</v>
      </c>
      <c r="H16" s="5" t="s">
        <v>345</v>
      </c>
      <c r="I16" s="4" t="s">
        <v>349</v>
      </c>
      <c r="J16" s="6" t="s">
        <v>369</v>
      </c>
      <c r="K16" s="4" t="s">
        <v>146</v>
      </c>
    </row>
    <row r="17" spans="1:11" ht="22" customHeight="1">
      <c r="A17" s="4" t="s">
        <v>331</v>
      </c>
      <c r="B17" s="4" t="s">
        <v>332</v>
      </c>
      <c r="C17" s="6" t="s">
        <v>297</v>
      </c>
      <c r="D17" s="6" t="s">
        <v>370</v>
      </c>
      <c r="E17" s="4" t="s">
        <v>275</v>
      </c>
      <c r="F17" s="5" t="s">
        <v>345</v>
      </c>
      <c r="G17" s="12" t="s">
        <v>334</v>
      </c>
      <c r="H17" s="5" t="s">
        <v>333</v>
      </c>
      <c r="I17" s="4" t="s">
        <v>349</v>
      </c>
      <c r="J17" s="6" t="s">
        <v>371</v>
      </c>
      <c r="K17" s="4" t="s">
        <v>164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FormatPr defaultRowHeight="15"/>
  <cols>
    <col min="1" max="1" width="8.7109375" customWidth="1"/>
    <col min="2" max="2" width="28.7109375" customWidth="1"/>
    <col min="3" max="8" width="10.7109375" customWidth="1"/>
    <col min="9" max="9" width="12.7109375" customWidth="1"/>
    <col min="10" max="10" width="10.7109375" customWidth="1"/>
    <col min="11" max="11" width="36.7109375" customWidth="1"/>
  </cols>
  <sheetData>
    <row r="1" spans="1:11" ht="28" customHeight="1">
      <c r="A1" s="1" t="s">
        <v>372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2" t="s">
        <v>373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ht="24" customHeight="1">
      <c r="A4" s="2" t="s">
        <v>374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24" customHeight="1">
      <c r="A5" s="3" t="s">
        <v>375</v>
      </c>
      <c r="B5" s="3" t="s">
        <v>376</v>
      </c>
      <c r="C5" s="3" t="s">
        <v>377</v>
      </c>
      <c r="D5" s="3" t="s">
        <v>378</v>
      </c>
      <c r="E5" s="3" t="s">
        <v>379</v>
      </c>
      <c r="F5" s="3" t="s">
        <v>380</v>
      </c>
      <c r="G5" s="3" t="s">
        <v>381</v>
      </c>
      <c r="H5" s="3" t="s">
        <v>382</v>
      </c>
      <c r="I5" s="3" t="s">
        <v>383</v>
      </c>
      <c r="J5" s="3" t="s">
        <v>384</v>
      </c>
      <c r="K5" s="3" t="s">
        <v>385</v>
      </c>
    </row>
    <row r="6" spans="1:11" ht="20" customHeight="1">
      <c r="A6" s="15" t="s">
        <v>386</v>
      </c>
      <c r="B6" s="15" t="s">
        <v>345</v>
      </c>
      <c r="C6" s="15">
        <v>24</v>
      </c>
      <c r="D6" s="15">
        <v>10</v>
      </c>
      <c r="E6" s="15">
        <v>7</v>
      </c>
      <c r="F6" s="15">
        <v>3</v>
      </c>
      <c r="G6" s="15">
        <v>0</v>
      </c>
      <c r="H6" s="15">
        <v>26</v>
      </c>
      <c r="I6" s="15">
        <v>7</v>
      </c>
      <c r="J6" s="15">
        <v>19</v>
      </c>
      <c r="K6" s="15" t="s">
        <v>387</v>
      </c>
    </row>
    <row r="7" spans="1:11" ht="20" customHeight="1">
      <c r="A7" s="4" t="s">
        <v>388</v>
      </c>
      <c r="B7" s="5" t="s">
        <v>317</v>
      </c>
      <c r="C7" s="4">
        <v>23</v>
      </c>
      <c r="D7" s="4">
        <v>10</v>
      </c>
      <c r="E7" s="4">
        <v>7</v>
      </c>
      <c r="F7" s="4">
        <v>2</v>
      </c>
      <c r="G7" s="4">
        <v>1</v>
      </c>
      <c r="H7" s="4">
        <v>14</v>
      </c>
      <c r="I7" s="4">
        <v>6</v>
      </c>
      <c r="J7" s="4">
        <v>8</v>
      </c>
      <c r="K7" s="4" t="s">
        <v>389</v>
      </c>
    </row>
    <row r="8" spans="1:11" ht="20" customHeight="1">
      <c r="A8" s="4" t="s">
        <v>390</v>
      </c>
      <c r="B8" s="5" t="s">
        <v>391</v>
      </c>
      <c r="C8" s="4">
        <v>20</v>
      </c>
      <c r="D8" s="4">
        <v>10</v>
      </c>
      <c r="E8" s="4">
        <v>6</v>
      </c>
      <c r="F8" s="4">
        <v>2</v>
      </c>
      <c r="G8" s="4">
        <v>2</v>
      </c>
      <c r="H8" s="4">
        <v>20</v>
      </c>
      <c r="I8" s="4">
        <v>13</v>
      </c>
      <c r="J8" s="4">
        <v>7</v>
      </c>
      <c r="K8" s="4" t="s">
        <v>392</v>
      </c>
    </row>
    <row r="9" spans="1:11" ht="20" customHeight="1">
      <c r="A9" s="4" t="s">
        <v>393</v>
      </c>
      <c r="B9" s="5" t="s">
        <v>321</v>
      </c>
      <c r="C9" s="4">
        <v>20</v>
      </c>
      <c r="D9" s="4">
        <v>10</v>
      </c>
      <c r="E9" s="4">
        <v>6</v>
      </c>
      <c r="F9" s="4">
        <v>2</v>
      </c>
      <c r="G9" s="4">
        <v>2</v>
      </c>
      <c r="H9" s="4">
        <v>16</v>
      </c>
      <c r="I9" s="4">
        <v>14</v>
      </c>
      <c r="J9" s="4">
        <v>2</v>
      </c>
      <c r="K9" s="4" t="s">
        <v>394</v>
      </c>
    </row>
    <row r="10" spans="1:11" ht="20" customHeight="1">
      <c r="A10" s="4" t="s">
        <v>395</v>
      </c>
      <c r="B10" s="5" t="s">
        <v>396</v>
      </c>
      <c r="C10" s="4">
        <v>18</v>
      </c>
      <c r="D10" s="4">
        <v>10</v>
      </c>
      <c r="E10" s="4">
        <v>5</v>
      </c>
      <c r="F10" s="4">
        <v>3</v>
      </c>
      <c r="G10" s="4">
        <v>2</v>
      </c>
      <c r="H10" s="4">
        <v>16</v>
      </c>
      <c r="I10" s="4">
        <v>10</v>
      </c>
      <c r="J10" s="4">
        <v>6</v>
      </c>
      <c r="K10" s="4" t="s">
        <v>397</v>
      </c>
    </row>
    <row r="11" spans="1:11" ht="20" customHeight="1">
      <c r="A11" s="4" t="s">
        <v>398</v>
      </c>
      <c r="B11" s="5" t="s">
        <v>399</v>
      </c>
      <c r="C11" s="4">
        <v>17</v>
      </c>
      <c r="D11" s="4">
        <v>10</v>
      </c>
      <c r="E11" s="4">
        <v>5</v>
      </c>
      <c r="F11" s="4">
        <v>2</v>
      </c>
      <c r="G11" s="4">
        <v>3</v>
      </c>
      <c r="H11" s="4">
        <v>14</v>
      </c>
      <c r="I11" s="4">
        <v>7</v>
      </c>
      <c r="J11" s="4">
        <v>7</v>
      </c>
      <c r="K11" s="4" t="s">
        <v>400</v>
      </c>
    </row>
    <row r="12" spans="1:11" ht="20" customHeight="1">
      <c r="A12" s="4" t="s">
        <v>401</v>
      </c>
      <c r="B12" s="5" t="s">
        <v>402</v>
      </c>
      <c r="C12" s="4">
        <v>17</v>
      </c>
      <c r="D12" s="4">
        <v>10</v>
      </c>
      <c r="E12" s="4">
        <v>5</v>
      </c>
      <c r="F12" s="4">
        <v>2</v>
      </c>
      <c r="G12" s="4">
        <v>3</v>
      </c>
      <c r="H12" s="4">
        <v>14</v>
      </c>
      <c r="I12" s="4">
        <v>8</v>
      </c>
      <c r="J12" s="4">
        <v>6</v>
      </c>
      <c r="K12" s="4" t="s">
        <v>403</v>
      </c>
    </row>
    <row r="13" spans="1:11" ht="20" customHeight="1">
      <c r="A13" s="4" t="s">
        <v>404</v>
      </c>
      <c r="B13" s="5" t="s">
        <v>405</v>
      </c>
      <c r="C13" s="4">
        <v>17</v>
      </c>
      <c r="D13" s="4">
        <v>10</v>
      </c>
      <c r="E13" s="4">
        <v>5</v>
      </c>
      <c r="F13" s="4">
        <v>2</v>
      </c>
      <c r="G13" s="4">
        <v>3</v>
      </c>
      <c r="H13" s="4">
        <v>9</v>
      </c>
      <c r="I13" s="4">
        <v>8</v>
      </c>
      <c r="J13" s="4">
        <v>1</v>
      </c>
      <c r="K13" s="4" t="s">
        <v>406</v>
      </c>
    </row>
    <row r="14" spans="1:11" ht="20" customHeight="1">
      <c r="A14" s="4" t="s">
        <v>407</v>
      </c>
      <c r="B14" s="5" t="s">
        <v>313</v>
      </c>
      <c r="C14" s="4">
        <v>16</v>
      </c>
      <c r="D14" s="4">
        <v>10</v>
      </c>
      <c r="E14" s="4">
        <v>4</v>
      </c>
      <c r="F14" s="4">
        <v>4</v>
      </c>
      <c r="G14" s="4">
        <v>2</v>
      </c>
      <c r="H14" s="4">
        <v>18</v>
      </c>
      <c r="I14" s="4">
        <v>12</v>
      </c>
      <c r="J14" s="4">
        <v>6</v>
      </c>
      <c r="K14" s="4" t="s">
        <v>408</v>
      </c>
    </row>
    <row r="15" spans="1:11" ht="20" customHeight="1">
      <c r="A15" s="4" t="s">
        <v>409</v>
      </c>
      <c r="B15" s="5" t="s">
        <v>410</v>
      </c>
      <c r="C15" s="4">
        <v>15</v>
      </c>
      <c r="D15" s="4">
        <v>10</v>
      </c>
      <c r="E15" s="4">
        <v>3</v>
      </c>
      <c r="F15" s="4">
        <v>6</v>
      </c>
      <c r="G15" s="4">
        <v>1</v>
      </c>
      <c r="H15" s="4">
        <v>12</v>
      </c>
      <c r="I15" s="4">
        <v>10</v>
      </c>
      <c r="J15" s="4">
        <v>2</v>
      </c>
      <c r="K15" s="4" t="s">
        <v>411</v>
      </c>
    </row>
    <row r="16" spans="1:11" ht="20" customHeight="1">
      <c r="A16" s="4" t="s">
        <v>412</v>
      </c>
      <c r="B16" s="5" t="s">
        <v>326</v>
      </c>
      <c r="C16" s="4">
        <v>14</v>
      </c>
      <c r="D16" s="4">
        <v>10</v>
      </c>
      <c r="E16" s="4">
        <v>3</v>
      </c>
      <c r="F16" s="4">
        <v>5</v>
      </c>
      <c r="G16" s="4">
        <v>2</v>
      </c>
      <c r="H16" s="4">
        <v>13</v>
      </c>
      <c r="I16" s="4">
        <v>11</v>
      </c>
      <c r="J16" s="4">
        <v>2</v>
      </c>
      <c r="K16" s="4" t="s">
        <v>413</v>
      </c>
    </row>
    <row r="17" spans="1:11" ht="20" customHeight="1">
      <c r="A17" s="4" t="s">
        <v>414</v>
      </c>
      <c r="B17" s="5" t="s">
        <v>415</v>
      </c>
      <c r="C17" s="4">
        <v>14</v>
      </c>
      <c r="D17" s="4">
        <v>10</v>
      </c>
      <c r="E17" s="4">
        <v>4</v>
      </c>
      <c r="F17" s="4">
        <v>2</v>
      </c>
      <c r="G17" s="4">
        <v>4</v>
      </c>
      <c r="H17" s="4">
        <v>14</v>
      </c>
      <c r="I17" s="4">
        <v>15</v>
      </c>
      <c r="J17" s="4">
        <v>-1</v>
      </c>
      <c r="K17" s="4" t="s">
        <v>416</v>
      </c>
    </row>
    <row r="18" spans="1:11" ht="20" customHeight="1">
      <c r="A18" s="4" t="s">
        <v>417</v>
      </c>
      <c r="B18" s="5" t="s">
        <v>418</v>
      </c>
      <c r="C18" s="4">
        <v>11</v>
      </c>
      <c r="D18" s="4">
        <v>10</v>
      </c>
      <c r="E18" s="4">
        <v>3</v>
      </c>
      <c r="F18" s="4">
        <v>2</v>
      </c>
      <c r="G18" s="4">
        <v>5</v>
      </c>
      <c r="H18" s="4">
        <v>12</v>
      </c>
      <c r="I18" s="4">
        <v>13</v>
      </c>
      <c r="J18" s="4">
        <v>-1</v>
      </c>
      <c r="K18" s="4" t="s">
        <v>419</v>
      </c>
    </row>
    <row r="19" spans="1:11" ht="20" customHeight="1">
      <c r="A19" s="4" t="s">
        <v>420</v>
      </c>
      <c r="B19" s="5" t="s">
        <v>298</v>
      </c>
      <c r="C19" s="4">
        <v>11</v>
      </c>
      <c r="D19" s="4">
        <v>10</v>
      </c>
      <c r="E19" s="4">
        <v>3</v>
      </c>
      <c r="F19" s="4">
        <v>2</v>
      </c>
      <c r="G19" s="4">
        <v>5</v>
      </c>
      <c r="H19" s="4">
        <v>12</v>
      </c>
      <c r="I19" s="4">
        <v>15</v>
      </c>
      <c r="J19" s="4">
        <v>-3</v>
      </c>
      <c r="K19" s="4" t="s">
        <v>421</v>
      </c>
    </row>
    <row r="20" spans="1:11" ht="20" customHeight="1">
      <c r="A20" s="4" t="s">
        <v>422</v>
      </c>
      <c r="B20" s="5" t="s">
        <v>306</v>
      </c>
      <c r="C20" s="4">
        <v>9</v>
      </c>
      <c r="D20" s="4">
        <v>10</v>
      </c>
      <c r="E20" s="4">
        <v>1</v>
      </c>
      <c r="F20" s="4">
        <v>6</v>
      </c>
      <c r="G20" s="4">
        <v>3</v>
      </c>
      <c r="H20" s="4">
        <v>12</v>
      </c>
      <c r="I20" s="4">
        <v>17</v>
      </c>
      <c r="J20" s="4">
        <v>-5</v>
      </c>
      <c r="K20" s="4" t="s">
        <v>423</v>
      </c>
    </row>
    <row r="21" spans="1:11" ht="20" customHeight="1">
      <c r="A21" s="4" t="s">
        <v>424</v>
      </c>
      <c r="B21" s="5" t="s">
        <v>309</v>
      </c>
      <c r="C21" s="4">
        <v>8</v>
      </c>
      <c r="D21" s="4">
        <v>10</v>
      </c>
      <c r="E21" s="4">
        <v>2</v>
      </c>
      <c r="F21" s="4">
        <v>2</v>
      </c>
      <c r="G21" s="4">
        <v>6</v>
      </c>
      <c r="H21" s="4">
        <v>5</v>
      </c>
      <c r="I21" s="4">
        <v>15</v>
      </c>
      <c r="J21" s="4">
        <v>-10</v>
      </c>
      <c r="K21" s="4" t="s">
        <v>425</v>
      </c>
    </row>
    <row r="22" spans="1:11" ht="20" customHeight="1">
      <c r="A22" s="4" t="s">
        <v>426</v>
      </c>
      <c r="B22" s="5" t="s">
        <v>333</v>
      </c>
      <c r="C22" s="4">
        <v>7</v>
      </c>
      <c r="D22" s="4">
        <v>10</v>
      </c>
      <c r="E22" s="4">
        <v>1</v>
      </c>
      <c r="F22" s="4">
        <v>4</v>
      </c>
      <c r="G22" s="4">
        <v>5</v>
      </c>
      <c r="H22" s="4">
        <v>9</v>
      </c>
      <c r="I22" s="4">
        <v>14</v>
      </c>
      <c r="J22" s="4">
        <v>-5</v>
      </c>
      <c r="K22" s="4" t="s">
        <v>427</v>
      </c>
    </row>
    <row r="23" spans="1:11" ht="20" customHeight="1">
      <c r="A23" s="4" t="s">
        <v>428</v>
      </c>
      <c r="B23" s="5" t="s">
        <v>429</v>
      </c>
      <c r="C23" s="4">
        <v>7</v>
      </c>
      <c r="D23" s="4">
        <v>10</v>
      </c>
      <c r="E23" s="4">
        <v>1</v>
      </c>
      <c r="F23" s="4">
        <v>4</v>
      </c>
      <c r="G23" s="4">
        <v>5</v>
      </c>
      <c r="H23" s="4">
        <v>10</v>
      </c>
      <c r="I23" s="4">
        <v>17</v>
      </c>
      <c r="J23" s="4">
        <v>-7</v>
      </c>
      <c r="K23" s="4" t="s">
        <v>430</v>
      </c>
    </row>
    <row r="24" spans="1:11" ht="20" customHeight="1">
      <c r="A24" s="4" t="s">
        <v>431</v>
      </c>
      <c r="B24" s="5" t="s">
        <v>432</v>
      </c>
      <c r="C24" s="4">
        <v>7</v>
      </c>
      <c r="D24" s="4">
        <v>9</v>
      </c>
      <c r="E24" s="4">
        <v>1</v>
      </c>
      <c r="F24" s="4">
        <v>4</v>
      </c>
      <c r="G24" s="4">
        <v>4</v>
      </c>
      <c r="H24" s="4">
        <v>8</v>
      </c>
      <c r="I24" s="4">
        <v>16</v>
      </c>
      <c r="J24" s="4">
        <v>-8</v>
      </c>
      <c r="K24" s="4" t="s">
        <v>433</v>
      </c>
    </row>
    <row r="25" spans="1:11" ht="20" customHeight="1">
      <c r="A25" s="4" t="s">
        <v>434</v>
      </c>
      <c r="B25" s="5" t="s">
        <v>435</v>
      </c>
      <c r="C25" s="4">
        <v>6</v>
      </c>
      <c r="D25" s="4">
        <v>10</v>
      </c>
      <c r="E25" s="4">
        <v>1</v>
      </c>
      <c r="F25" s="4">
        <v>3</v>
      </c>
      <c r="G25" s="4">
        <v>6</v>
      </c>
      <c r="H25" s="4">
        <v>10</v>
      </c>
      <c r="I25" s="4">
        <v>17</v>
      </c>
      <c r="J25" s="4">
        <v>-7</v>
      </c>
      <c r="K25" s="4" t="s">
        <v>436</v>
      </c>
    </row>
    <row r="26" spans="1:11" ht="20" customHeight="1">
      <c r="A26" s="4" t="s">
        <v>437</v>
      </c>
      <c r="B26" s="5" t="s">
        <v>329</v>
      </c>
      <c r="C26" s="4">
        <v>6</v>
      </c>
      <c r="D26" s="4">
        <v>10</v>
      </c>
      <c r="E26" s="4">
        <v>0</v>
      </c>
      <c r="F26" s="4">
        <v>6</v>
      </c>
      <c r="G26" s="4">
        <v>4</v>
      </c>
      <c r="H26" s="4">
        <v>9</v>
      </c>
      <c r="I26" s="4">
        <v>19</v>
      </c>
      <c r="J26" s="4">
        <v>-10</v>
      </c>
      <c r="K26" s="4" t="s">
        <v>438</v>
      </c>
    </row>
    <row r="27" spans="1:11" ht="20" customHeight="1">
      <c r="A27" s="4" t="s">
        <v>439</v>
      </c>
      <c r="B27" s="5" t="s">
        <v>302</v>
      </c>
      <c r="C27" s="4">
        <v>5</v>
      </c>
      <c r="D27" s="4">
        <v>9</v>
      </c>
      <c r="E27" s="4">
        <v>1</v>
      </c>
      <c r="F27" s="4">
        <v>2</v>
      </c>
      <c r="G27" s="4">
        <v>6</v>
      </c>
      <c r="H27" s="4">
        <v>10</v>
      </c>
      <c r="I27" s="4">
        <v>19</v>
      </c>
      <c r="J27" s="4">
        <v>-9</v>
      </c>
      <c r="K27" s="4" t="s">
        <v>440</v>
      </c>
    </row>
    <row r="30" spans="1:11" ht="24" customHeight="1">
      <c r="A30" s="2" t="s">
        <v>441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24" customHeight="1">
      <c r="A31" s="3" t="s">
        <v>375</v>
      </c>
      <c r="B31" s="3" t="s">
        <v>376</v>
      </c>
      <c r="C31" s="3" t="s">
        <v>377</v>
      </c>
      <c r="D31" s="3" t="s">
        <v>378</v>
      </c>
      <c r="E31" s="3" t="s">
        <v>379</v>
      </c>
      <c r="F31" s="3" t="s">
        <v>380</v>
      </c>
      <c r="G31" s="3" t="s">
        <v>381</v>
      </c>
      <c r="H31" s="3" t="s">
        <v>382</v>
      </c>
      <c r="I31" s="3" t="s">
        <v>383</v>
      </c>
      <c r="J31" s="3" t="s">
        <v>384</v>
      </c>
      <c r="K31" s="3" t="s">
        <v>385</v>
      </c>
    </row>
    <row r="32" spans="1:11" ht="20" customHeight="1">
      <c r="A32" s="15" t="s">
        <v>386</v>
      </c>
      <c r="B32" s="15" t="s">
        <v>345</v>
      </c>
      <c r="C32" s="15">
        <v>7</v>
      </c>
      <c r="D32" s="15">
        <v>3</v>
      </c>
      <c r="E32" s="15">
        <v>2</v>
      </c>
      <c r="F32" s="15">
        <v>1</v>
      </c>
      <c r="G32" s="15">
        <v>0</v>
      </c>
      <c r="H32" s="15">
        <v>6</v>
      </c>
      <c r="I32" s="15">
        <v>1</v>
      </c>
      <c r="J32" s="15">
        <v>5</v>
      </c>
      <c r="K32" s="15" t="s">
        <v>442</v>
      </c>
    </row>
    <row r="33" spans="1:11" ht="20" customHeight="1">
      <c r="A33" s="4" t="s">
        <v>388</v>
      </c>
      <c r="B33" s="5" t="s">
        <v>443</v>
      </c>
      <c r="C33" s="4">
        <v>7</v>
      </c>
      <c r="D33" s="4">
        <v>3</v>
      </c>
      <c r="E33" s="4">
        <v>2</v>
      </c>
      <c r="F33" s="4">
        <v>1</v>
      </c>
      <c r="G33" s="4">
        <v>0</v>
      </c>
      <c r="H33" s="4">
        <v>6</v>
      </c>
      <c r="I33" s="4">
        <v>3</v>
      </c>
      <c r="J33" s="4">
        <v>3</v>
      </c>
      <c r="K33" s="4" t="s">
        <v>444</v>
      </c>
    </row>
    <row r="34" spans="1:11" ht="20" customHeight="1">
      <c r="A34" s="4" t="s">
        <v>390</v>
      </c>
      <c r="B34" s="5" t="s">
        <v>445</v>
      </c>
      <c r="C34" s="4">
        <v>5</v>
      </c>
      <c r="D34" s="4">
        <v>3</v>
      </c>
      <c r="E34" s="4">
        <v>1</v>
      </c>
      <c r="F34" s="4">
        <v>2</v>
      </c>
      <c r="G34" s="4">
        <v>0</v>
      </c>
      <c r="H34" s="4">
        <v>3</v>
      </c>
      <c r="I34" s="4">
        <v>2</v>
      </c>
      <c r="J34" s="4">
        <v>1</v>
      </c>
      <c r="K34" s="4" t="s">
        <v>446</v>
      </c>
    </row>
    <row r="35" spans="1:11" ht="20" customHeight="1">
      <c r="A35" s="4" t="s">
        <v>393</v>
      </c>
      <c r="B35" s="5" t="s">
        <v>447</v>
      </c>
      <c r="C35" s="4">
        <v>5</v>
      </c>
      <c r="D35" s="4">
        <v>3</v>
      </c>
      <c r="E35" s="4">
        <v>1</v>
      </c>
      <c r="F35" s="4">
        <v>2</v>
      </c>
      <c r="G35" s="4">
        <v>0</v>
      </c>
      <c r="H35" s="4">
        <v>3</v>
      </c>
      <c r="I35" s="4">
        <v>2</v>
      </c>
      <c r="J35" s="4">
        <v>1</v>
      </c>
      <c r="K35" s="4" t="s">
        <v>448</v>
      </c>
    </row>
    <row r="36" spans="1:11" ht="20" customHeight="1">
      <c r="A36" s="4" t="s">
        <v>395</v>
      </c>
      <c r="B36" s="5" t="s">
        <v>449</v>
      </c>
      <c r="C36" s="4">
        <v>4</v>
      </c>
      <c r="D36" s="4">
        <v>3</v>
      </c>
      <c r="E36" s="4">
        <v>1</v>
      </c>
      <c r="F36" s="4">
        <v>1</v>
      </c>
      <c r="G36" s="4">
        <v>1</v>
      </c>
      <c r="H36" s="4">
        <v>3</v>
      </c>
      <c r="I36" s="4">
        <v>3</v>
      </c>
      <c r="J36" s="4">
        <v>0</v>
      </c>
      <c r="K36" s="4" t="s">
        <v>450</v>
      </c>
    </row>
    <row r="37" spans="1:11" ht="20" customHeight="1">
      <c r="A37" s="4" t="s">
        <v>398</v>
      </c>
      <c r="B37" s="5" t="s">
        <v>274</v>
      </c>
      <c r="C37" s="4">
        <v>2</v>
      </c>
      <c r="D37" s="4">
        <v>3</v>
      </c>
      <c r="E37" s="4">
        <v>0</v>
      </c>
      <c r="F37" s="4">
        <v>2</v>
      </c>
      <c r="G37" s="4">
        <v>1</v>
      </c>
      <c r="H37" s="4">
        <v>2</v>
      </c>
      <c r="I37" s="4">
        <v>5</v>
      </c>
      <c r="J37" s="4">
        <v>-3</v>
      </c>
      <c r="K37" s="4" t="s">
        <v>451</v>
      </c>
    </row>
    <row r="38" spans="1:11" ht="20" customHeight="1">
      <c r="A38" s="4" t="s">
        <v>401</v>
      </c>
      <c r="B38" s="5" t="s">
        <v>291</v>
      </c>
      <c r="C38" s="4">
        <v>1</v>
      </c>
      <c r="D38" s="4">
        <v>3</v>
      </c>
      <c r="E38" s="4">
        <v>0</v>
      </c>
      <c r="F38" s="4">
        <v>1</v>
      </c>
      <c r="G38" s="4">
        <v>2</v>
      </c>
      <c r="H38" s="4">
        <v>1</v>
      </c>
      <c r="I38" s="4">
        <v>5</v>
      </c>
      <c r="J38" s="4">
        <v>-4</v>
      </c>
      <c r="K38" s="4" t="s">
        <v>452</v>
      </c>
    </row>
    <row r="39" spans="1:11" ht="20" customHeight="1">
      <c r="A39" s="4" t="s">
        <v>404</v>
      </c>
      <c r="B39" s="5" t="s">
        <v>286</v>
      </c>
      <c r="C39" s="4">
        <v>0</v>
      </c>
      <c r="D39" s="4">
        <v>3</v>
      </c>
      <c r="E39" s="4">
        <v>0</v>
      </c>
      <c r="F39" s="4">
        <v>0</v>
      </c>
      <c r="G39" s="4">
        <v>3</v>
      </c>
      <c r="H39" s="4">
        <v>2</v>
      </c>
      <c r="I39" s="4">
        <v>5</v>
      </c>
      <c r="J39" s="4">
        <v>-3</v>
      </c>
      <c r="K39" s="4" t="s">
        <v>453</v>
      </c>
    </row>
  </sheetData>
  <mergeCells count="4">
    <mergeCell ref="A1:K1"/>
    <mergeCell ref="A2:K2"/>
    <mergeCell ref="A4:K4"/>
    <mergeCell ref="A30:K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1" width="6.7109375" customWidth="1"/>
    <col min="2" max="2" width="44.7109375" customWidth="1"/>
    <col min="3" max="3" width="34.7109375" customWidth="1"/>
    <col min="4" max="4" width="72.7109375" customWidth="1"/>
    <col min="5" max="5" width="62.7109375" customWidth="1"/>
  </cols>
  <sheetData>
    <row r="1" spans="1:5" ht="28" customHeight="1">
      <c r="A1" s="1" t="s">
        <v>454</v>
      </c>
      <c r="B1" s="1"/>
      <c r="C1" s="1"/>
      <c r="D1" s="1"/>
      <c r="E1" s="1"/>
    </row>
    <row r="2" spans="1:5" ht="20" customHeight="1">
      <c r="A2" s="2" t="s">
        <v>455</v>
      </c>
      <c r="B2" s="2"/>
      <c r="C2" s="2"/>
      <c r="D2" s="2"/>
      <c r="E2" s="2"/>
    </row>
    <row r="4" spans="1:5" ht="26" customHeight="1">
      <c r="A4" s="3" t="s">
        <v>456</v>
      </c>
      <c r="B4" s="3" t="s">
        <v>457</v>
      </c>
      <c r="C4" s="3" t="s">
        <v>458</v>
      </c>
      <c r="D4" s="3" t="s">
        <v>459</v>
      </c>
      <c r="E4" s="3" t="s">
        <v>460</v>
      </c>
    </row>
    <row r="5" spans="1:5" ht="26" customHeight="1">
      <c r="A5" s="4">
        <v>1</v>
      </c>
      <c r="B5" s="5" t="s">
        <v>461</v>
      </c>
      <c r="C5" s="8" t="str">
        <f>IF(SUM('Elenco Completo (Hub)'!$AB$5:$AB$29)=SUM('Desempenho por Jogo (Logs)'!$L$5:$L$206), "OK (VERIFICADO)", "DIVERGÊNCIA DETECTADA")</f>
        <v>OK (VERIFICADO)</v>
      </c>
      <c r="D5" s="6" t="s">
        <v>462</v>
      </c>
      <c r="E5" s="6" t="s">
        <v>463</v>
      </c>
    </row>
    <row r="6" spans="1:5" ht="26" customHeight="1">
      <c r="A6" s="4">
        <v>2</v>
      </c>
      <c r="B6" s="5" t="s">
        <v>464</v>
      </c>
      <c r="C6" s="12" t="s">
        <v>465</v>
      </c>
      <c r="D6" s="6" t="s">
        <v>466</v>
      </c>
      <c r="E6" s="6" t="s">
        <v>467</v>
      </c>
    </row>
    <row r="7" spans="1:5" ht="26" customHeight="1">
      <c r="A7" s="4">
        <v>3</v>
      </c>
      <c r="B7" s="5" t="s">
        <v>468</v>
      </c>
      <c r="C7" s="8" t="s">
        <v>469</v>
      </c>
      <c r="D7" s="6" t="s">
        <v>470</v>
      </c>
      <c r="E7" s="6" t="s">
        <v>471</v>
      </c>
    </row>
    <row r="8" spans="1:5" ht="26" customHeight="1">
      <c r="A8" s="4">
        <v>4</v>
      </c>
      <c r="B8" s="5" t="s">
        <v>472</v>
      </c>
      <c r="C8" s="8" t="str">
        <f>IF(MAX('Elenco Completo (Hub)'!$Z$5:$Z$29)&lt;=540, "OK (VERIFICADO)", "DIVERGÊNCIA DETECTADA")</f>
        <v>OK (VERIFICADO)</v>
      </c>
      <c r="D8" s="6" t="s">
        <v>473</v>
      </c>
      <c r="E8" s="6" t="s">
        <v>474</v>
      </c>
    </row>
    <row r="9" spans="1:5" ht="26" customHeight="1">
      <c r="A9" s="4">
        <v>5</v>
      </c>
      <c r="B9" s="5" t="s">
        <v>475</v>
      </c>
      <c r="C9" s="8" t="s">
        <v>469</v>
      </c>
      <c r="D9" s="6" t="s">
        <v>476</v>
      </c>
      <c r="E9" s="6" t="s">
        <v>477</v>
      </c>
    </row>
    <row r="10" spans="1:5" ht="26" customHeight="1">
      <c r="A10" s="4">
        <v>6</v>
      </c>
      <c r="B10" s="5" t="s">
        <v>478</v>
      </c>
      <c r="C10" s="8" t="s">
        <v>469</v>
      </c>
      <c r="D10" s="6" t="s">
        <v>479</v>
      </c>
      <c r="E10" s="6" t="s">
        <v>480</v>
      </c>
    </row>
    <row r="11" spans="1:5" ht="26" customHeight="1">
      <c r="A11" s="4">
        <v>7</v>
      </c>
      <c r="B11" s="5" t="s">
        <v>481</v>
      </c>
      <c r="C11" s="8" t="s">
        <v>469</v>
      </c>
      <c r="D11" s="6" t="s">
        <v>482</v>
      </c>
      <c r="E11" s="6" t="s">
        <v>483</v>
      </c>
    </row>
    <row r="12" spans="1:5" ht="26" customHeight="1">
      <c r="A12" s="4">
        <v>8</v>
      </c>
      <c r="B12" s="5" t="s">
        <v>484</v>
      </c>
      <c r="C12" s="8" t="s">
        <v>469</v>
      </c>
      <c r="D12" s="6" t="s">
        <v>485</v>
      </c>
      <c r="E12" s="6" t="s">
        <v>486</v>
      </c>
    </row>
    <row r="13" spans="1:5" ht="26" customHeight="1">
      <c r="A13" s="4">
        <v>9</v>
      </c>
      <c r="B13" s="5" t="s">
        <v>487</v>
      </c>
      <c r="C13" s="8" t="str">
        <f>IF(SUM('Elenco Completo (Hub)'!$Z$5:$Z$29)=SUM('Desempenho por Jogo (Logs)'!$K$5:$K$206), "OK (VERIFICADO)", "DIVERGÊNCIA DETECTADA")</f>
        <v>OK (VERIFICADO)</v>
      </c>
      <c r="D13" s="6" t="s">
        <v>488</v>
      </c>
      <c r="E13" s="6" t="s">
        <v>489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Elenco Completo (Hub)</vt:lpstr>
      <vt:lpstr>Desempenho por Jogo (Logs)</vt:lpstr>
      <vt:lpstr>Jogos e Adversários</vt:lpstr>
      <vt:lpstr>Classificação (Tabelas)</vt:lpstr>
      <vt:lpstr>Integridade dos 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2026-10-30T00:46:50Z</dcterms:created>
  <dcterms:modified xsi:type="dcterms:W3CDTF">2026-10-30T00:46:50Z</dcterms:modified>
</cp:coreProperties>
</file>