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lenco Completo (Hub)" sheetId="1" r:id="rId1"/>
    <sheet name="Desempenho por Jogo (Logs)" sheetId="2" r:id="rId2"/>
    <sheet name="Jogos e Adversários" sheetId="3" r:id="rId3"/>
    <sheet name="Classificação (Tabelas)" sheetId="4" r:id="rId4"/>
    <sheet name="Integridade dos Dados" sheetId="5" r:id="rId5"/>
  </sheets>
  <definedNames>
    <definedName name="_xlnm._FilterDatabase" localSheetId="1" hidden="1">'Desempenho por Jogo (Logs)'!$A$4:$N$94</definedName>
    <definedName name="_xlnm._FilterDatabase" localSheetId="0" hidden="1">'Elenco Completo (Hub)'!$A$4:$AP$29</definedName>
  </definedNames>
  <calcPr calcId="124519" fullCalcOnLoad="1"/>
</workbook>
</file>

<file path=xl/sharedStrings.xml><?xml version="1.0" encoding="utf-8"?>
<sst xmlns="http://schemas.openxmlformats.org/spreadsheetml/2006/main" count="1408" uniqueCount="461">
  <si>
    <t>FC ANDORRA (LaLiga Hypermotion (Segunda División)) — CENTRAL DE ELENCO (DERIVADA DOS LOGS POR PARTIDA)</t>
  </si>
  <si>
    <t>Treinador: Carles Manso Rubio | Data: 31/08/2025 | 6J: 4V 2E 0D · 14 GP / 3 GC (Invicto!) | Gols Conciliados: 14 = 14 GP</t>
  </si>
  <si>
    <t>ID Atleta</t>
  </si>
  <si>
    <t>Nº Camisa</t>
  </si>
  <si>
    <t>Jogador</t>
  </si>
  <si>
    <t>Nome Completo</t>
  </si>
  <si>
    <t>Hierarquia Escalação (Treinador)</t>
  </si>
  <si>
    <t>Utilização Real (Derivada)</t>
  </si>
  <si>
    <t>Papel Contratual</t>
  </si>
  <si>
    <t>Posição Principal</t>
  </si>
  <si>
    <t>Posições Secundárias</t>
  </si>
  <si>
    <t>Setor</t>
  </si>
  <si>
    <t>Overall (OVR)</t>
  </si>
  <si>
    <t>Potencial (POT)</t>
  </si>
  <si>
    <t>Margem de Potencial (POT-OVR)</t>
  </si>
  <si>
    <t>Evolução Real no Save</t>
  </si>
  <si>
    <t>Idade</t>
  </si>
  <si>
    <t>Nascimento</t>
  </si>
  <si>
    <t>Nacionalidade</t>
  </si>
  <si>
    <t>Valor de Mercado (€)</t>
  </si>
  <si>
    <t>Salário Semanal (€)</t>
  </si>
  <si>
    <t>Situação Multa Rescisória</t>
  </si>
  <si>
    <t>Fim Contrato</t>
  </si>
  <si>
    <t>Alerta Contratual</t>
  </si>
  <si>
    <t>Jogos (Logs)</t>
  </si>
  <si>
    <t>Titular (Logs)</t>
  </si>
  <si>
    <t>Reserva (Logs)</t>
  </si>
  <si>
    <t>Minutos (Logs)</t>
  </si>
  <si>
    <t>% Minutos</t>
  </si>
  <si>
    <t>Gols (Conciliado Logs)</t>
  </si>
  <si>
    <t>Assistências (Bloco stndgs)</t>
  </si>
  <si>
    <t>Participações (G+A)</t>
  </si>
  <si>
    <t>G+A por 90m</t>
  </si>
  <si>
    <t>Gols (Liga)</t>
  </si>
  <si>
    <t>Assist. (Liga)</t>
  </si>
  <si>
    <t>Gols (Pré-Temp/Copa)</t>
  </si>
  <si>
    <t>Assist. (Pré-Temp/Copa)</t>
  </si>
  <si>
    <t>Clean Sheets</t>
  </si>
  <si>
    <t>Nota Média (Logs)</t>
  </si>
  <si>
    <t>Forma Recente</t>
  </si>
  <si>
    <t>Confiança da Amostra</t>
  </si>
  <si>
    <t>Recomendação Consultiva (Camada 3)</t>
  </si>
  <si>
    <t>Justificativa Numérica</t>
  </si>
  <si>
    <t>Descrição Derivada Automática</t>
  </si>
  <si>
    <t>Bomba</t>
  </si>
  <si>
    <t>Marc Bombardó Poyato</t>
  </si>
  <si>
    <t>Titular (ZAG)</t>
  </si>
  <si>
    <t>Titular Efetivo (75% min)</t>
  </si>
  <si>
    <t>Rodízio</t>
  </si>
  <si>
    <t>ZAG</t>
  </si>
  <si>
    <t>—</t>
  </si>
  <si>
    <t>Defesa</t>
  </si>
  <si>
    <t>24/11/2005</t>
  </si>
  <si>
    <t>Espanha</t>
  </si>
  <si>
    <t>€ 4.150.000</t>
  </si>
  <si>
    <t>Atenção: Expira em 2027 (2 anos)</t>
  </si>
  <si>
    <t>Boa (7,06)</t>
  </si>
  <si>
    <t>19 anos, POT 78 (+12 margem) e 405 min disputados (5J)</t>
  </si>
  <si>
    <t>Atleta de 19 anos (Espanha). posição ZAG. hierarquia atual 'Titular (ZAG)'. Overall 66 e Potencial 78 (margem de potencial +12; evolução real no save +1). Soma 405 min em 5 partidas (5T/0R). com 0 gol(s) verificado(s) por partida. 0 assistência(s) na temporada (0 G+A) e nota média 7.06. Vínculo: contrato até 2027 (Rodízio). avaliado em € 1.900.000.</t>
  </si>
  <si>
    <t>Daniel Villahermosa</t>
  </si>
  <si>
    <t>Titular (MC)</t>
  </si>
  <si>
    <t>MC</t>
  </si>
  <si>
    <t>VOL</t>
  </si>
  <si>
    <t>Meio-Campo</t>
  </si>
  <si>
    <t>03/01/2001</t>
  </si>
  <si>
    <t>€ 2.600.000</t>
  </si>
  <si>
    <t>Seguro (até 2030)</t>
  </si>
  <si>
    <t>Boa (7,44)</t>
  </si>
  <si>
    <t>Titular com 403 min em 5J (74,6% do tempo possível, Nota 7,44)</t>
  </si>
  <si>
    <t>Atleta de 24 anos (Espanha). posição MC (VOL). hierarquia atual 'Titular (MC)'. Overall 67 e Potencial 70 (margem de potencial +3; evolução real no save +0). Soma 403 min em 5 partidas (5T/0R). com 1 gol(s) verificado(s) por partida. 1 assistência(s) na temporada (2 G+A) e nota média 7.44. Vínculo: contrato até 2030 (Rodízio). avaliado em € 1.600.000.</t>
  </si>
  <si>
    <t>Manu Bueno</t>
  </si>
  <si>
    <t>Manuel Bueno Sebastián</t>
  </si>
  <si>
    <t>Suplente Acionado (28% min)</t>
  </si>
  <si>
    <t>Importante</t>
  </si>
  <si>
    <t>MEI, VOL</t>
  </si>
  <si>
    <t>28/07/2004</t>
  </si>
  <si>
    <t>€ 6.600.000</t>
  </si>
  <si>
    <t>Seguro (até 2029)</t>
  </si>
  <si>
    <t>Amostra Curta (6,70 em 2J)</t>
  </si>
  <si>
    <t>Nota 6,70 e 1 G+A em apenas 150 min (2J); exige maior minutagem antes de sugerir mudança de hierarquia</t>
  </si>
  <si>
    <t>Atleta de 21 anos (Espanha). posição MC (MEI. VOL). hierarquia atual 'Titular (MC)'. Overall 67 e Potencial 76 (margem de potencial +9; evolução real no save +0). Soma 150 min em 2 partidas (2T/0R). com 1 gol(s) verificado(s) por partida. 0 assistência(s) na temporada (1 G+A) e nota média 6.70. Vínculo: contrato até 2029 (Importante). avaliado em € 2.700.000.</t>
  </si>
  <si>
    <t>Lautaro de León</t>
  </si>
  <si>
    <t>Lautaro de León Billar</t>
  </si>
  <si>
    <t>Titular (ATA)</t>
  </si>
  <si>
    <t>Rotação Ativa (52% min)</t>
  </si>
  <si>
    <t>ATA</t>
  </si>
  <si>
    <t>Ataque</t>
  </si>
  <si>
    <t>10/02/2001</t>
  </si>
  <si>
    <t>Uruguai</t>
  </si>
  <si>
    <t>€ 4.000.000</t>
  </si>
  <si>
    <t>Seguro (até 2028)</t>
  </si>
  <si>
    <t>Regular (6,85)</t>
  </si>
  <si>
    <t>Titular com 283 min em 4J (52,4% do tempo possível, Nota 6,85)</t>
  </si>
  <si>
    <t>Atleta de 24 anos (Uruguai). posição ATA. hierarquia atual 'Titular (ATA)'. Overall 67 e Potencial 72 (margem de potencial +5; evolução real no save +0). Soma 283 min em 4 partidas (4T/0R). com 3 gol(s) verificado(s) por partida. 0 assistência(s) na temporada (3 G+A) e nota média 6.85. Vínculo: contrato até 2028 (Importante). avaliado em € 1.800.000.</t>
  </si>
  <si>
    <t>Edgar González</t>
  </si>
  <si>
    <t>Edgar González Estrada</t>
  </si>
  <si>
    <t>Titular Efetivo (89% min)</t>
  </si>
  <si>
    <t>02/04/1997</t>
  </si>
  <si>
    <t>Sem multa rescisória</t>
  </si>
  <si>
    <t>Regular (6,74)</t>
  </si>
  <si>
    <t>Titular com 480 min em 6J (88,9% do tempo possível, Nota 6,73)</t>
  </si>
  <si>
    <t>Atleta de 28 anos (Espanha). posição ZAG. hierarquia atual 'Titular (ZAG)'. Overall 71 e Potencial 72 (margem de potencial +1; evolução real no save +0). Soma 480 min em 6 partidas (6T/0R). com 0 gol(s) verificado(s) por partida. 0 assistência(s) na temporada (0 G+A) e nota média 6.73. Vínculo: contrato até 2028 (Rodízio). avaliado em € 2.100.000.</t>
  </si>
  <si>
    <t>Aingeru Olabarrieta</t>
  </si>
  <si>
    <t>Aingeru Olabarrieta Capelo</t>
  </si>
  <si>
    <t>Titular (PD)</t>
  </si>
  <si>
    <t>Rotação Ativa (41% min)</t>
  </si>
  <si>
    <t>PD</t>
  </si>
  <si>
    <t>MD</t>
  </si>
  <si>
    <t>15/11/2005</t>
  </si>
  <si>
    <t>Emprestado (Sem multa)</t>
  </si>
  <si>
    <t>Empréstimo até Jun/2026</t>
  </si>
  <si>
    <t>Regular (6,83)</t>
  </si>
  <si>
    <t>19 anos, POT 81 (+13 margem) e 223 min disputados (3J)</t>
  </si>
  <si>
    <t>Atleta de 19 anos (Espanha). posição PD (MD). hierarquia atual 'Titular (PD)'. Overall 68 e Potencial 81 (margem de potencial +13; evolução real no save +1). Soma 223 min em 3 partidas (3T/0R). com 0 gol(s) verificado(s) por partida. 1 assistência(s) na temporada (1 G+A) e nota média 6.83. Vínculo: atleta emprestado ao clube até 2026. avaliado em € 2.900.000.</t>
  </si>
  <si>
    <t>Thomas Carrique</t>
  </si>
  <si>
    <t>Titular (LD)</t>
  </si>
  <si>
    <t>Rotação Ativa (33% min)</t>
  </si>
  <si>
    <t>LD</t>
  </si>
  <si>
    <t>27/02/1999</t>
  </si>
  <si>
    <t>França</t>
  </si>
  <si>
    <t>€ 1.800.000</t>
  </si>
  <si>
    <t>Regular (6,97)</t>
  </si>
  <si>
    <t>Participação regular na rotação (180 min em 3J, OVR 66)</t>
  </si>
  <si>
    <t>Atleta de 26 anos (França). posição LD (MD). hierarquia atual 'Titular (LD)'. Overall 66 e Potencial 67 (margem de potencial +1; evolução real no save +0). Soma 180 min em 3 partidas (3T/0R). com 0 gol(s) verificado(s) por partida. 0 assistência(s) na temporada (0 G+A) e nota média 6.97. Vínculo: contrato até 2027 (Rodízio). avaliado em € 1.100.000.</t>
  </si>
  <si>
    <t>Imanol</t>
  </si>
  <si>
    <t>Imanol García de Albéniz</t>
  </si>
  <si>
    <t>Titular (LE)</t>
  </si>
  <si>
    <t>Rotação Ativa (58% min)</t>
  </si>
  <si>
    <t>LE</t>
  </si>
  <si>
    <t>ME</t>
  </si>
  <si>
    <t>09/06/2000</t>
  </si>
  <si>
    <t>Boa (7,28)</t>
  </si>
  <si>
    <t>Titular com 315 min em 5J (58,3% do tempo possível, Nota 7,28)</t>
  </si>
  <si>
    <t>Atleta de 25 anos (Espanha). posição LE (ME). hierarquia atual 'Titular (LE)'. Overall 70 e Potencial 73 (margem de potencial +3; evolução real no save +0). Soma 315 min em 5 partidas (5T/0R). com 1 gol(s) verificado(s) por partida. 1 assistência(s) na temporada (2 G+A) e nota média 7.28. Vínculo: contrato até 2029 (Rodízio). avaliado em € 2.300.000.</t>
  </si>
  <si>
    <t>Efe Akman</t>
  </si>
  <si>
    <t>Titular Efetivo (69% min)</t>
  </si>
  <si>
    <t>21/03/2006</t>
  </si>
  <si>
    <t>Turquia</t>
  </si>
  <si>
    <t>€ 3.500.000</t>
  </si>
  <si>
    <t>Excelente (8,44)</t>
  </si>
  <si>
    <t>19 anos, POT 78 (+13 margem) e 375 min disputados (5J)</t>
  </si>
  <si>
    <t>Atleta de 19 anos (Turquia). posição MC (VOL). hierarquia atual 'Titular (MC)'. Overall 65 e Potencial 78 (margem de potencial +13; evolução real no save +1). Soma 375 min em 5 partidas (5T/0R). com 0 gol(s) verificado(s) por partida. 2 assistência(s) na temporada (2 G+A) e nota média 8.44. Vínculo: contrato até 2029 (Rodízio). avaliado em € 1.600.000.</t>
  </si>
  <si>
    <t>Áron Yaakobishvili</t>
  </si>
  <si>
    <t>Titular (GOL)</t>
  </si>
  <si>
    <t>Titular Efetivo (67% min)</t>
  </si>
  <si>
    <t>GOL</t>
  </si>
  <si>
    <t>Goleiro</t>
  </si>
  <si>
    <t>07/03/2006</t>
  </si>
  <si>
    <t>Hungria</t>
  </si>
  <si>
    <t>Regular (6,90)</t>
  </si>
  <si>
    <t>19 anos, POT 82 (+11 margem) e 360 min disputados (4J)</t>
  </si>
  <si>
    <t>Atleta de 19 anos (Hungria). posição GOL. hierarquia atual 'Titular (GOL)'. Overall 71 e Potencial 82 (margem de potencial +11; evolução real no save +1). Soma 360 min em 4 partidas (4T/0R). com 0 gol(s) verificado(s) por partida. 0 assistência(s) na temporada (0 G+A) e nota média 6.90. Vínculo: atleta emprestado ao clube até 2026. avaliado em € 3.900.000.</t>
  </si>
  <si>
    <t>Kim Min Su</t>
  </si>
  <si>
    <t>Min Su Kim</t>
  </si>
  <si>
    <t>Titular (PE)</t>
  </si>
  <si>
    <t>Rotação Ativa (44% min)</t>
  </si>
  <si>
    <t>PE</t>
  </si>
  <si>
    <t>20/01/2006</t>
  </si>
  <si>
    <t>Coreia do Sul</t>
  </si>
  <si>
    <t>Boa (7,00)</t>
  </si>
  <si>
    <t>19 anos, POT 82 (+11 margem) e 238 min disputados (4J)</t>
  </si>
  <si>
    <t>Atleta de 19 anos (Coreia do Sul). posição PE (ME). hierarquia atual 'Titular (PE)'. Overall 71 e Potencial 82 (margem de potencial +11; evolução real no save +1). Soma 238 min em 4 partidas (4T/0R). com 1 gol(s) verificado(s) por partida. 0 assistência(s) na temporada (1 G+A) e nota média 7.00. Vínculo: atleta emprestado ao clube até 2026. avaliado em € 4.500.000.</t>
  </si>
  <si>
    <t>Álex Petxa</t>
  </si>
  <si>
    <t>Álex Petxarroman Eizaguirre</t>
  </si>
  <si>
    <t>Suplente (Banco)</t>
  </si>
  <si>
    <t>Rotação Ativa (51% min)</t>
  </si>
  <si>
    <t>07/02/1997</t>
  </si>
  <si>
    <t>Excelente (7,52)</t>
  </si>
  <si>
    <t>Suplente com boa produção em 5J / 274 min (Nota 7,52, 0 G+A); sugestão consultiva sem alterar escalação</t>
  </si>
  <si>
    <t>Atleta de 28 anos (Espanha). posição LD (MC). hierarquia atual 'Suplente (Banco)'. Overall 66 e Potencial 66 (margem de potencial +0; evolução real no save +0). Soma 274 min em 5 partidas (4T/1R). com 0 gol(s) verificado(s) por partida. 0 assistência(s) na temporada (0 G+A) e nota média 7.52. Vínculo: contrato até 2028 (Rodízio). avaliado em € 925.000.</t>
  </si>
  <si>
    <t>Yeray Cabanzón</t>
  </si>
  <si>
    <t>Rotação Ativa (47% min)</t>
  </si>
  <si>
    <t>15/05/2003</t>
  </si>
  <si>
    <t>Excelente (8,03)</t>
  </si>
  <si>
    <t>Suplente com boa produção em 4J / 255 min (Nota 8,03, 6 G+A); sugestão consultiva sem alterar escalação</t>
  </si>
  <si>
    <t>Atleta de 22 anos (Espanha). posição MD (PD). hierarquia atual 'Suplente (Banco)'. Overall 67 e Potencial 75 (margem de potencial +8; evolução real no save +1). Soma 255 min em 4 partidas (3T/1R). com 3 gol(s) verificado(s) por partida. 3 assistência(s) na temporada (6 G+A) e nota média 8.03. Vínculo: contrato até 2027 (Rodízio). avaliado em € 2.300.000.</t>
  </si>
  <si>
    <t>Gaël Alonso</t>
  </si>
  <si>
    <t>Gaël Alonso Moreno</t>
  </si>
  <si>
    <t>Suplente Acionado (20% min)</t>
  </si>
  <si>
    <t>23/07/2002</t>
  </si>
  <si>
    <t>Amostra Curta (5,80 em 3J)</t>
  </si>
  <si>
    <t>Nota 5,80 e 0 G+A em apenas 106 min (3J); exige maior minutagem antes de sugerir mudança de hierarquia</t>
  </si>
  <si>
    <t>Atleta de 23 anos (Espanha). posição ZAG. hierarquia atual 'Suplente (Banco)'. Overall 67 e Potencial 74 (margem de potencial +7; evolução real no save +1). Soma 106 min em 3 partidas (2T/1R). com 0 gol(s) verificado(s) por partida. 0 assistência(s) na temporada (0 G+A) e nota média 5.80. Vínculo: contrato até 2028 (Rodízio). avaliado em € 2.100.000.</t>
  </si>
  <si>
    <t>Jesús Owono</t>
  </si>
  <si>
    <t>Jesús Lázaro Owono Ngua Akeng</t>
  </si>
  <si>
    <t>02/03/2001</t>
  </si>
  <si>
    <t>Guiné Equatorial</t>
  </si>
  <si>
    <t>Amostra Curta (6,80 em 2J)</t>
  </si>
  <si>
    <t>Nota 6,80 e 0 G+A em apenas 180 min (2J); exige maior minutagem antes de sugerir mudança de hierarquia</t>
  </si>
  <si>
    <t>Atleta de 24 anos (Guiné Equatorial). posição GOL. hierarquia atual 'Suplente (Banco)'. Overall 68 e Potencial 73 (margem de potencial +5; evolução real no save +1). Soma 180 min em 2 partidas (2T/0R). com 0 gol(s) verificado(s) por partida. 0 assistência(s) na temporada (0 G+A) e nota média 6.80. Vínculo: contrato até 2029 (Rodízio). avaliado em € 1.500.000.</t>
  </si>
  <si>
    <t>Sergio Molina</t>
  </si>
  <si>
    <t>Sergio Molina Beloqui</t>
  </si>
  <si>
    <t>Rotação Ativa (42% min)</t>
  </si>
  <si>
    <t>VOL, ZAG</t>
  </si>
  <si>
    <t>19/02/1996</t>
  </si>
  <si>
    <t>Excelente (7,80)</t>
  </si>
  <si>
    <t>Suplente com boa produção em 3J / 226 min (Nota 7,80, 0 G+A); sugestão consultiva sem alterar escalação</t>
  </si>
  <si>
    <t>Atleta de 29 anos (Espanha). posição MC (VOL. ZAG). hierarquia atual 'Suplente (Banco)'. Overall 66 e Potencial 66 (margem de potencial +0; evolução real no save +0). Soma 226 min em 3 partidas (3T/0R). com 0 gol(s) verificado(s) por partida. 0 assistência(s) na temporada (0 G+A) e nota média 7.80. Vínculo: contrato até 2028 (Rodízio). avaliado em € 975.000.</t>
  </si>
  <si>
    <t>Jastin</t>
  </si>
  <si>
    <t>Jastin García</t>
  </si>
  <si>
    <t>Rotação Ativa (48% min)</t>
  </si>
  <si>
    <t>16/01/2004</t>
  </si>
  <si>
    <t>Boa (7,20)</t>
  </si>
  <si>
    <t>Suplente com boa produção em 5J / 259 min (Nota 7,20, 2 G+A); sugestão consultiva sem alterar escalação</t>
  </si>
  <si>
    <t>Atleta de 21 anos (Espanha). posição ME (PE). hierarquia atual 'Suplente (Banco)'. Overall 69 e Potencial 80 (margem de potencial +11; evolução real no save +1). Soma 259 min em 5 partidas (3T/2R). com 0 gol(s) verificado(s) por partida. 2 assistência(s) na temporada (2 G+A) e nota média 7.20. Vínculo: atleta emprestado ao clube até 2026. avaliado em € 3.500.000.</t>
  </si>
  <si>
    <t>Martí Vilà</t>
  </si>
  <si>
    <t>Martí Vilà García</t>
  </si>
  <si>
    <t>Rotação Ativa (59% min)</t>
  </si>
  <si>
    <t>ZAG, ME</t>
  </si>
  <si>
    <t>25/05/1999</t>
  </si>
  <si>
    <t>Regular (6,56)</t>
  </si>
  <si>
    <t>Participação regular na rotação (317 min em 5J, OVR 67)</t>
  </si>
  <si>
    <t>Atleta de 26 anos (Espanha). posição LE (ZAG. ME). hierarquia atual 'Suplente (Banco)'. Overall 67 e Potencial 67 (margem de potencial +0; evolução real no save +1). Soma 317 min em 5 partidas (5T/0R). com 0 gol(s) verificado(s) por partida. 0 assistência(s) na temporada (0 G+A) e nota média 6.56. Vínculo: contrato até 2028 (Rodízio). avaliado em € 1.100.000.</t>
  </si>
  <si>
    <t>Álex Calvo</t>
  </si>
  <si>
    <t>Alejandro Calvo Mata</t>
  </si>
  <si>
    <t>Reserva (Não Relacionado)</t>
  </si>
  <si>
    <t>Suplente Acionado (9% min)</t>
  </si>
  <si>
    <t>21/02/2004</t>
  </si>
  <si>
    <t>€ 2.800.000</t>
  </si>
  <si>
    <t>Amostra Curta (6,15 em 2J)</t>
  </si>
  <si>
    <t>Nota 6,15 e 0 G+A em apenas 48 min (2J); exige maior minutagem antes de sugerir mudança de hierarquia</t>
  </si>
  <si>
    <t>Atleta de 21 anos (Espanha). posição PD (MD). hierarquia atual 'Reserva (Não Relacionado)'. Overall 66 e Potencial 72 (margem de potencial +6; evolução real no save +0). Soma 48 min em 2 partidas (1T/1R). com 0 gol(s) verificado(s) por partida. 0 assistência(s) na temporada (0 G+A) e nota média 6.15. Vínculo: contrato até 2028 (Rodízio). avaliado em € 1.600.000.</t>
  </si>
  <si>
    <t>Álvaro Martín</t>
  </si>
  <si>
    <t>Suplente Acionado (30% min)</t>
  </si>
  <si>
    <t>16/01/2001</t>
  </si>
  <si>
    <t>Regular (6,50)</t>
  </si>
  <si>
    <t>Participação regular na rotação (163 min em 3J, OVR 63)</t>
  </si>
  <si>
    <t>Atleta de 24 anos (Espanha). posição MC (MEI. VOL). hierarquia atual 'Reserva (Não Relacionado)'. Overall 63 e Potencial 68 (margem de potencial +5; evolução real no save +0). Soma 163 min em 3 partidas (2T/1R). com 0 gol(s) verificado(s) por partida. 0 assistência(s) na temporada (0 G+A) e nota média 6.50. Vínculo: contrato até 2030 (Rodízio). avaliado em € 850.000.</t>
  </si>
  <si>
    <t>Marc Doménech</t>
  </si>
  <si>
    <t>Suplente Acionado (23% min)</t>
  </si>
  <si>
    <t>02/11/2002</t>
  </si>
  <si>
    <t>Amostra Curta (7,30 em 3J)</t>
  </si>
  <si>
    <t>Nota 7,30 e 0 G+A em apenas 123 min (3J); exige maior minutagem antes de sugerir mudança de hierarquia</t>
  </si>
  <si>
    <t>Atleta de 22 anos (Espanha). posição MC (VOL). hierarquia atual 'Reserva (Não Relacionado)'. Overall 65 e Potencial 71 (margem de potencial +6; evolução real no save +1). Soma 123 min em 3 partidas (1T/2R). com 0 gol(s) verificado(s) por partida. 0 assistência(s) na temporada (0 G+A) e nota média 7.30. Vínculo: contrato até 2028 (Rodízio). avaliado em € 1.400.000.</t>
  </si>
  <si>
    <t>Marc Cardona</t>
  </si>
  <si>
    <t>Marc Cardona Rovira</t>
  </si>
  <si>
    <t>09/07/1995</t>
  </si>
  <si>
    <t>Excelente (8,10)</t>
  </si>
  <si>
    <t>Suplente com boa produção em 4J / 256 min (Nota 8,10, 5 G+A); sugestão consultiva sem alterar escalação</t>
  </si>
  <si>
    <t>Atleta de 30 anos (Espanha). posição ATA (MD). hierarquia atual 'Reserva (Não Relacionado)'. Overall 67 e Potencial 67 (margem de potencial +0; evolução real no save +0). Soma 256 min em 4 partidas (3T/1R). com 4 gol(s) verificado(s) por partida. 1 assistência(s) na temporada (5 G+A) e nota média 8.10. Vínculo: contrato até 2028 (Rodízio). avaliado em € 1.200.000.</t>
  </si>
  <si>
    <t>Diego Alende</t>
  </si>
  <si>
    <t>Diego Alende López</t>
  </si>
  <si>
    <t>Suplente Acionado (17% min)</t>
  </si>
  <si>
    <t>26/08/1997</t>
  </si>
  <si>
    <t>Amostra Curta (8,50 em 1J)</t>
  </si>
  <si>
    <t>Nota 8,50 e 0 G+A em apenas 90 min (1J); exige maior minutagem antes de sugerir mudança de hierarquia</t>
  </si>
  <si>
    <t>Atleta de 28 anos (Espanha). posição ZAG. hierarquia atual 'Reserva (Não Relacionado)'. Overall 67 e Potencial 68 (margem de potencial +1; evolução real no save +1). Soma 90 min em 1 partidas (1T/0R). com 0 gol(s) verificado(s) por partida. 0 assistência(s) na temporada (0 G+A) e nota média 8.50. Vínculo: contrato até 2027 (Rodízio). avaliado em € 1.100.000.</t>
  </si>
  <si>
    <t>Théo Le Normand</t>
  </si>
  <si>
    <t>Suplente Acionado (19% min)</t>
  </si>
  <si>
    <t>MEI</t>
  </si>
  <si>
    <t>09/08/2000</t>
  </si>
  <si>
    <t>Amostra Curta (6,40 em 2J)</t>
  </si>
  <si>
    <t>Nota 6,40 e 0 G+A em apenas 105 min (2J); exige maior minutagem antes de sugerir mudança de hierarquia</t>
  </si>
  <si>
    <t>Atleta de 25 anos (França). posição MEI (MC). hierarquia atual 'Reserva (Não Relacionado)'. Overall 63 e Potencial 66 (margem de potencial +3; evolução real no save +0). Soma 105 min em 2 partidas (2T/0R). com 0 gol(s) verificado(s) por partida. 0 assistência(s) na temporada (0 G+A) e nota média 6.40. Vínculo: contrato até 2029 (Rodízio). avaliado em € 775.000.</t>
  </si>
  <si>
    <t>Valle Gómez</t>
  </si>
  <si>
    <t>Suplente Acionado (25% min)</t>
  </si>
  <si>
    <t>24/05/2005</t>
  </si>
  <si>
    <t>€ 920.000</t>
  </si>
  <si>
    <t>⚠️ Crítico: Expira em 2026 (&lt;1 ano)</t>
  </si>
  <si>
    <t>Amostra Curta (7,80 em 2J)</t>
  </si>
  <si>
    <t>Nota 7,80 e 1 G+A em apenas 135 min (2J); exige maior minutagem antes de sugerir mudança de hierarquia</t>
  </si>
  <si>
    <t>Atleta de 20 anos (Espanha). posição MC (VOL). hierarquia atual 'Reserva (Não Relacionado)'. Overall 58 e Potencial 69 (margem de potencial +11; evolução real no save +0). Soma 135 min em 2 partidas (2T/0R). com 0 gol(s) verificado(s) por partida. 1 assistência(s) na temporada (1 G+A) e nota média 7.80. Vínculo: contrato até 2026 (Rodízio). avaliado em € 525.000.</t>
  </si>
  <si>
    <t>REGISTROS INDIVIDUAIS POR PARTIDA (FONTE PRIMÁRIA DO SISTEMA) — FC ANDORRA</t>
  </si>
  <si>
    <t>Total: 90 atuações em 6 jogos | Soma de Gols nos Logs: 14 gols | Assistências por Partida: valor exato ou 'N/D' quando o binário guarda apenas o acumulado da competição</t>
  </si>
  <si>
    <t>Jogo #</t>
  </si>
  <si>
    <t>Data</t>
  </si>
  <si>
    <t>Competição</t>
  </si>
  <si>
    <t>Adversário</t>
  </si>
  <si>
    <t>Mando</t>
  </si>
  <si>
    <t>Placar</t>
  </si>
  <si>
    <t>Nº</t>
  </si>
  <si>
    <t>Posição Exercida</t>
  </si>
  <si>
    <t>Minutos</t>
  </si>
  <si>
    <t>Gols na Partida</t>
  </si>
  <si>
    <t>Assistências na Partida</t>
  </si>
  <si>
    <t>Nota Oficial</t>
  </si>
  <si>
    <t>#1</t>
  </si>
  <si>
    <t>18/07/2025</t>
  </si>
  <si>
    <t>Torneio de Pré-Temporada (Champions Trophy)</t>
  </si>
  <si>
    <t>Fortuna Sittard</t>
  </si>
  <si>
    <t>Casa</t>
  </si>
  <si>
    <t>1 x 1</t>
  </si>
  <si>
    <t>N/D</t>
  </si>
  <si>
    <t>LE (SUB)</t>
  </si>
  <si>
    <t>ZAG (SUB)</t>
  </si>
  <si>
    <t>LD (SUB)</t>
  </si>
  <si>
    <t>MC (SUB)</t>
  </si>
  <si>
    <t>ME (SUB)</t>
  </si>
  <si>
    <t>PD (SUB)</t>
  </si>
  <si>
    <t>#2</t>
  </si>
  <si>
    <t>22/07/2025</t>
  </si>
  <si>
    <t>Aberdeen</t>
  </si>
  <si>
    <t>Fora</t>
  </si>
  <si>
    <t>0 x 2</t>
  </si>
  <si>
    <t>#3</t>
  </si>
  <si>
    <t>26/07/2025</t>
  </si>
  <si>
    <t>Estrela da Amadora</t>
  </si>
  <si>
    <t>3 x 0</t>
  </si>
  <si>
    <t>MEI (SUB)</t>
  </si>
  <si>
    <t>MD (SUB)</t>
  </si>
  <si>
    <t>#4</t>
  </si>
  <si>
    <t>17/08/2025</t>
  </si>
  <si>
    <t>LaLiga Hypermotion (2ª Divisão)</t>
  </si>
  <si>
    <t>UD Las Palmas</t>
  </si>
  <si>
    <t>ATA (SUB)</t>
  </si>
  <si>
    <t>#5</t>
  </si>
  <si>
    <t>23/08/2025</t>
  </si>
  <si>
    <t>Real Zaragoza</t>
  </si>
  <si>
    <t>1 x 5</t>
  </si>
  <si>
    <t>#6</t>
  </si>
  <si>
    <t>31/08/2025</t>
  </si>
  <si>
    <t>Burgos CF</t>
  </si>
  <si>
    <t>HISTÓRICO DE JOGOS DISPUTADOS — FC ANDORRA</t>
  </si>
  <si>
    <t>Campanha: 6J: 4V 2E 0D · 14 GP / 3 GC (Invicto!)</t>
  </si>
  <si>
    <t>Jogo</t>
  </si>
  <si>
    <t>Etapa / Rodada</t>
  </si>
  <si>
    <t>Mandante</t>
  </si>
  <si>
    <t>Visitante</t>
  </si>
  <si>
    <t>Resultado</t>
  </si>
  <si>
    <t>Artilheiros Conciliados (stndgs)</t>
  </si>
  <si>
    <t>Goleiro Titular</t>
  </si>
  <si>
    <t>Fase de Grupos - Rodada 1</t>
  </si>
  <si>
    <t>FC Andorra</t>
  </si>
  <si>
    <t>Empate</t>
  </si>
  <si>
    <t>Lautaro de León (1)</t>
  </si>
  <si>
    <t>Fase de Grupos - Rodada 2</t>
  </si>
  <si>
    <t>Vitória</t>
  </si>
  <si>
    <t>Imanol (1), Yeray Cabanzón (1)</t>
  </si>
  <si>
    <t>Fase de Grupos - Rodada 3 (Título!)</t>
  </si>
  <si>
    <t>Lautaro de León (2), Daniel Villahermosa (1)</t>
  </si>
  <si>
    <t>Rodada 1</t>
  </si>
  <si>
    <t>Marc Cardona (1), Kim Min Su (1)</t>
  </si>
  <si>
    <t>Rodada 2</t>
  </si>
  <si>
    <t>Marc Cardona (3), Yeray Cabanzón (2)</t>
  </si>
  <si>
    <t>Rodada 3</t>
  </si>
  <si>
    <t>Manu Bueno (1)</t>
  </si>
  <si>
    <t>TABELAS DE CLASSIFICAÇÃO — COMPETIÇÕES DE FC ANDORRA</t>
  </si>
  <si>
    <t>Dados Extraídos e Conciliados Diretamente do Bloco de Competições do Save (mlop)</t>
  </si>
  <si>
    <t>LaLiga Hypermotion (Espanha — 2ª Divisão) (Espanha — Liga Nacional)</t>
  </si>
  <si>
    <t>Pos</t>
  </si>
  <si>
    <t>Clube</t>
  </si>
  <si>
    <t>Pontos</t>
  </si>
  <si>
    <t>Jogos</t>
  </si>
  <si>
    <t>Vitórias</t>
  </si>
  <si>
    <t>Empates</t>
  </si>
  <si>
    <t>Derrotas</t>
  </si>
  <si>
    <t>Gols Pró</t>
  </si>
  <si>
    <t>Gols Contra</t>
  </si>
  <si>
    <t>Saldo</t>
  </si>
  <si>
    <t>Casa / Fora</t>
  </si>
  <si>
    <t>1º</t>
  </si>
  <si>
    <t>Racing de Santander</t>
  </si>
  <si>
    <t>C: 2V 0E 0D (4:2) | F: 1V 0E 0D (2:1)</t>
  </si>
  <si>
    <t>2º</t>
  </si>
  <si>
    <t>C: 0V 1E 0D (1:1) | F: 2V 0E 0D (7:1)</t>
  </si>
  <si>
    <t>3º</t>
  </si>
  <si>
    <t>Cádiz CF</t>
  </si>
  <si>
    <t>C: 2V 0E 0D (4:0) | F: 0V 1E 0D (0:0)</t>
  </si>
  <si>
    <t>4º</t>
  </si>
  <si>
    <t>Córdoba CF</t>
  </si>
  <si>
    <t>C: 1V 1E 0D (4:3) | F: 1V 0E 1D (3:1)</t>
  </si>
  <si>
    <t>5º</t>
  </si>
  <si>
    <t>Real Valladolid</t>
  </si>
  <si>
    <t>C: 2V 0E 0D (3:0) | F: 0V 1E 0D (0:0)</t>
  </si>
  <si>
    <t>6º</t>
  </si>
  <si>
    <t>RC Deportivo</t>
  </si>
  <si>
    <t>C: 1V 0E 0D (3:1) | F: 0V 2E 0D (2:2)</t>
  </si>
  <si>
    <t>7º</t>
  </si>
  <si>
    <t>Granada CF</t>
  </si>
  <si>
    <t>C: 1V 1E 0D (3:1) | F: 0V 1E 0D (1:1)</t>
  </si>
  <si>
    <t>8º</t>
  </si>
  <si>
    <t>SD Eibar</t>
  </si>
  <si>
    <t>C: 0V 1E 0D (1:1) | F: 1V 1E 0D (3:2)</t>
  </si>
  <si>
    <t>9º</t>
  </si>
  <si>
    <t>CD Castellón</t>
  </si>
  <si>
    <t>C: 1V 1E 0D (2:1) | F: 0V 1E 1D (2:3)</t>
  </si>
  <si>
    <t>10º</t>
  </si>
  <si>
    <t>Málaga CF</t>
  </si>
  <si>
    <t>C: 0V 1E 1D (2:3) | F: 1V 0E 0D (2:0)</t>
  </si>
  <si>
    <t>11º</t>
  </si>
  <si>
    <t>Cultural Leonesa</t>
  </si>
  <si>
    <t>C: 0V 2E 0D (3:3) | F: 0V 2E 0D (3:3)</t>
  </si>
  <si>
    <t>12º</t>
  </si>
  <si>
    <t>SD Huesca</t>
  </si>
  <si>
    <t>C: 0V 2E 0D (3:3) | F: 0V 2E 0D (1:1)</t>
  </si>
  <si>
    <t>13º</t>
  </si>
  <si>
    <t>CD Leganés</t>
  </si>
  <si>
    <t>C: 0V 2E 0D (1:1) | F: 0V 2E 0D (2:2)</t>
  </si>
  <si>
    <t>14º</t>
  </si>
  <si>
    <t>Albacete Balompié</t>
  </si>
  <si>
    <t>C: 1V 0E 1D (2:2) | F: 0V 1E 1D (1:2)</t>
  </si>
  <si>
    <t>15º</t>
  </si>
  <si>
    <t>AD Ceuta</t>
  </si>
  <si>
    <t>C: 1V 1E 0D (4:3) | F: 0V 0E 2D (1:4)</t>
  </si>
  <si>
    <t>16º</t>
  </si>
  <si>
    <t>Real Sociedad B</t>
  </si>
  <si>
    <t>C: 0V 2E 0D (4:4) | F: 0V 1E 0D (2:2)</t>
  </si>
  <si>
    <t>17º</t>
  </si>
  <si>
    <t>UD Almería</t>
  </si>
  <si>
    <t>C: 0V 1E 0D (1:1) | F: 0V 2E 0D (4:4)</t>
  </si>
  <si>
    <t>18º</t>
  </si>
  <si>
    <t>C: 0V 2E 0D (3:3) | F: 0V 1E 1D (2:4)</t>
  </si>
  <si>
    <t>19º</t>
  </si>
  <si>
    <t>Real Sporting de Gijón</t>
  </si>
  <si>
    <t>C: 0V 1E 1D (2:5) | F: 0V 0E 1D (2:3)</t>
  </si>
  <si>
    <t>20º</t>
  </si>
  <si>
    <t>C: 0V 0E 1D (1:5) | F: 0V 1E 1D (3:4)</t>
  </si>
  <si>
    <t>21º</t>
  </si>
  <si>
    <t>C: 0V 0E 2D (0:4) | F: 0V 1E 1D (4:5)</t>
  </si>
  <si>
    <t>22º</t>
  </si>
  <si>
    <t>CD Mirandés</t>
  </si>
  <si>
    <t>C: 0V 1E 0D (0:0) | F: 0V 0E 3D (0:6)</t>
  </si>
  <si>
    <t>Torneio de Pré-Temporada (Champions Trophy) (Internacional — Pré-Temporada / Amistoso)</t>
  </si>
  <si>
    <t>C: 1V 1E 0D (4:1) | F: 1V 0E 0D (2:0)</t>
  </si>
  <si>
    <t>Cagliari</t>
  </si>
  <si>
    <t>C: 1V 1E 0D (4:2) | F: 1V 0E 0D (2:1)</t>
  </si>
  <si>
    <t>AVS Futebol SAD</t>
  </si>
  <si>
    <t>C: 1V 1E 0D (3:2) | F: 0V 1E 0D (0:0)</t>
  </si>
  <si>
    <t>Genoa</t>
  </si>
  <si>
    <t>C: 1V 0E 0D (1:0) | F: 0V 2E 0D (2:2)</t>
  </si>
  <si>
    <t>Udinese</t>
  </si>
  <si>
    <t>C: 1V 0E 1D (2:2) | F: 0V 1E 0D (1:1)</t>
  </si>
  <si>
    <t>C: 0V 1E 0D (1:1) | F: 0V 1E 1D (1:4)</t>
  </si>
  <si>
    <t>C: 0V 1E 0D (0:0) | F: 0V 0E 2D (1:5)</t>
  </si>
  <si>
    <t>C: 0V 0E 1D (1:2) | F: 0V 0E 2D (1:3)</t>
  </si>
  <si>
    <t>AUDITORIA AUTOMÁTICA DE INTEGRIDADE DOS DADOS (8 Verificados · 1 Parcial (N/D no Binário))</t>
  </si>
  <si>
    <t>Distingue rigorosamente métricas 100% verificadas por partida de métricas parciais (onde o jogo grava apenas o acumulado da competição)</t>
  </si>
  <si>
    <t>#</t>
  </si>
  <si>
    <t>Regra de Validação</t>
  </si>
  <si>
    <t>Status de Verificação</t>
  </si>
  <si>
    <t>Evidência Primária Encontrada no Save</t>
  </si>
  <si>
    <t>Critério Técnico de Auditoria</t>
  </si>
  <si>
    <t>Conciliação Cruzada de Gols (Partidas × Logs Individuais × Elenco)</t>
  </si>
  <si>
    <t>Partidas: 14 GP (8 Liga + 6 Pré-Temp) == Soma dos 90 Logs por Jogo: 14 Gols == Soma do Elenco: 14 Gols.</t>
  </si>
  <si>
    <t>Os gols acumulados no elenco são recalculados diretamente da soma dos logs por partida e conciliados com o placar de cada confronto.</t>
  </si>
  <si>
    <t>Assistências e Participações em Gol (G+A): Competição vs. Logs por Partida</t>
  </si>
  <si>
    <t>PARCIAL (NÃO VERIFICADO POR PARTIDA)</t>
  </si>
  <si>
    <t>Fórmula G+A validada (14G + 12A = 26 G+A) e totais por competição validados no bloco stndgs (7 Liga + 5 Pré-Temp = 12 A). Nos 90 logs por partida: 72 atuações com assistência deduzida com certeza e 18 marcadas como 'N/D' (o binário do EA FC não grava assistências por partida nos slots históricos).</t>
  </si>
  <si>
    <t>Não aprova como 'OK' absoluto quando o jogo fornece apenas o acumulado da competição sem discriminar em qual rodada ocorreu cada assistência.</t>
  </si>
  <si>
    <t>Fonte Única de Minutos e Jogos (Derivados 100% dos Logs por Partida)</t>
  </si>
  <si>
    <t>OK (VERIFICADO)</t>
  </si>
  <si>
    <t>0 divergências entre soma dos logs e tabela do elenco. Teto de 6J (540m): máximo registrado é Edgar González (480m).</t>
  </si>
  <si>
    <t>Garante que Jogos (T/R), Minutos e Nota Média do elenco sejam calculados exclusivamente a partir dos registros individuais por partida.</t>
  </si>
  <si>
    <t>Percentuais de Passe/Drible e xG/xA sem Denominador Falso</t>
  </si>
  <si>
    <t>Campos sem denominador acumulado no save (xG, xA, % passes e % dribles da temporada) exibidos como 'N/D' (nunca 0.00 ou 100% de jogo único).</t>
  </si>
  <si>
    <t>Impede que estatísticas de uma única partida (mxif) ou zeros sem tentativas registradas distorçam a análise da temporada.</t>
  </si>
  <si>
    <t>Separação entre Margem de Potencial (POT − OVR) e Evolução Real</t>
  </si>
  <si>
    <t>Margem POT (POT − OVR) validada em 25 atletas e separada da Evolução Real medida contra o baseline_snapshot.json.</t>
  </si>
  <si>
    <t>Distingue potencial restante de crescimento real obtido desde o início do acompanhamento do save.</t>
  </si>
  <si>
    <t>Contratos Próximos do Fim (2026) e Multas sem Zero Ambíguo</t>
  </si>
  <si>
    <t>Zero ambíguo eliminado ('Sem multa rescisória' / 'Emprestado'). Alertas de último ano (2026): 1 atletas sinalizados.</t>
  </si>
  <si>
    <t>Nunca trata ausência de multa como € 0 numérico e sinaliza vínculos que expiram ao término da temporada atual.</t>
  </si>
  <si>
    <t>Conciliação Matemática das Tabelas de Classificação</t>
  </si>
  <si>
    <t>Validadas 2 competições do clube: Pontos (V×3+E), Jogos (V+E+D) e Saldo (GP−GC) exatos em 100% dos clubes.</t>
  </si>
  <si>
    <t>Recalcula pontos, vitórias, empates, derrotas e saldo de gols e confere com os resultados registrados da equipe.</t>
  </si>
  <si>
    <t>Trava de Amostra Mínima e Independência da Hierarquia Tática</t>
  </si>
  <si>
    <t>8 atletas com amostra curta (≤2J ou &lt;150m) classificados como 'Amostra insuficiente — continuar observando' (0 recomendações precipitadas; hierarquia do treinador preservada).</t>
  </si>
  <si>
    <t>Exige ≥3 jogos e ≥150 minutos antes de sugerir maior rotação e jamais altera automaticamente o status de escalação definido pelo treinador.</t>
  </si>
  <si>
    <t>Descrições 100% Derivadas dos Campos Numéricos (Zero Textos Manuais)</t>
  </si>
  <si>
    <t>Todos os 25 textos descritivos gerados dinamicamente a partir de OVR, POT, Idade e Minutos atuais (0 contradições).</t>
  </si>
  <si>
    <t>Impede que descrições textuais antigas contradigam os valores numéricos atualizados.</t>
  </si>
</sst>
</file>

<file path=xl/styles.xml><?xml version="1.0" encoding="utf-8"?>
<styleSheet xmlns="http://schemas.openxmlformats.org/spreadsheetml/2006/main">
  <numFmts count="4">
    <numFmt numFmtId="164" formatCode="+0;-0;0"/>
    <numFmt numFmtId="165" formatCode="€ #,##0"/>
    <numFmt numFmtId="166" formatCode="0.0%"/>
    <numFmt numFmtId="167" formatCode="0.00"/>
  </numFmts>
  <fonts count="10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i/>
      <sz val="10"/>
      <color rgb="FFE2E8F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166534"/>
      <name val="Calibri"/>
      <family val="2"/>
      <scheme val="minor"/>
    </font>
    <font>
      <b/>
      <sz val="10"/>
      <color rgb="FF92400E"/>
      <name val="Calibri"/>
      <family val="2"/>
      <scheme val="minor"/>
    </font>
    <font>
      <b/>
      <sz val="10"/>
      <color rgb="FF991B1B"/>
      <name val="Calibri"/>
      <family val="2"/>
      <scheme val="minor"/>
    </font>
    <font>
      <b/>
      <sz val="10"/>
      <color rgb="FF1E3A8A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82232"/>
        <bgColor indexed="64"/>
      </patternFill>
    </fill>
    <fill>
      <patternFill patternType="solid">
        <fgColor rgb="FF223046"/>
        <bgColor indexed="64"/>
      </patternFill>
    </fill>
    <fill>
      <patternFill patternType="solid">
        <fgColor rgb="FF2B3A55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P29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2" width="16.7109375" customWidth="1"/>
    <col min="3" max="4" width="24.7109375" customWidth="1"/>
    <col min="5" max="38" width="16.7109375" customWidth="1"/>
    <col min="39" max="39" width="30.7109375" customWidth="1"/>
    <col min="40" max="41" width="42.7109375" customWidth="1"/>
    <col min="42" max="42" width="68.7109375" customWidth="1"/>
  </cols>
  <sheetData>
    <row r="1" spans="1:42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20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4" spans="1:42" ht="30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</row>
    <row r="5" spans="1:42" ht="21" customHeight="1">
      <c r="A5" s="4">
        <v>271955</v>
      </c>
      <c r="B5" s="4">
        <v>5</v>
      </c>
      <c r="C5" s="5" t="s">
        <v>44</v>
      </c>
      <c r="D5" s="6" t="s">
        <v>45</v>
      </c>
      <c r="E5" s="4" t="s">
        <v>46</v>
      </c>
      <c r="F5" s="4" t="s">
        <v>47</v>
      </c>
      <c r="G5" s="4" t="s">
        <v>48</v>
      </c>
      <c r="H5" s="4" t="s">
        <v>49</v>
      </c>
      <c r="I5" s="4" t="s">
        <v>50</v>
      </c>
      <c r="J5" s="4" t="s">
        <v>51</v>
      </c>
      <c r="K5" s="7">
        <v>66</v>
      </c>
      <c r="L5" s="8">
        <v>78</v>
      </c>
      <c r="M5" s="9">
        <f>L5-K5</f>
        <v>12</v>
      </c>
      <c r="N5" s="9">
        <f>K5-65</f>
        <v>1</v>
      </c>
      <c r="O5" s="4">
        <v>19</v>
      </c>
      <c r="P5" s="4" t="s">
        <v>52</v>
      </c>
      <c r="Q5" s="4" t="s">
        <v>53</v>
      </c>
      <c r="R5" s="10">
        <v>1900000</v>
      </c>
      <c r="S5" s="10">
        <v>2000</v>
      </c>
      <c r="T5" s="4" t="s">
        <v>54</v>
      </c>
      <c r="U5" s="4">
        <v>2027</v>
      </c>
      <c r="V5" s="4" t="s">
        <v>55</v>
      </c>
      <c r="W5" s="4">
        <f>COUNTIFS('Desempenho por Jogo (Logs)'!$G$5:$G$94, A5)</f>
        <v>5</v>
      </c>
      <c r="X5" s="4">
        <f>COUNTIFS('Desempenho por Jogo (Logs)'!$G$5:$G$94, A5, 'Desempenho por Jogo (Logs)'!$J$5:$J$94, "&lt;&gt;RES")</f>
        <v>5</v>
      </c>
      <c r="Y5" s="4">
        <f>COUNTIFS('Desempenho por Jogo (Logs)'!$G$5:$G$94, A5, 'Desempenho por Jogo (Logs)'!$J$5:$J$94, "RES")</f>
        <v>0</v>
      </c>
      <c r="Z5" s="4">
        <f>SUMIFS('Desempenho por Jogo (Logs)'!$K$5:$K$94, 'Desempenho por Jogo (Logs)'!$G$5:$G$94, A5)</f>
        <v>405</v>
      </c>
      <c r="AA5" s="11">
        <f>IF(Z5&gt;0, Z5/540, 0)</f>
        <v>0.75</v>
      </c>
      <c r="AB5" s="4">
        <f>SUMIFS('Desempenho por Jogo (Logs)'!$L$5:$L$94, 'Desempenho por Jogo (Logs)'!$G$5:$G$94, A5)</f>
        <v>0</v>
      </c>
      <c r="AC5" s="4">
        <v>0</v>
      </c>
      <c r="AD5" s="4">
        <f>AB5+AC5</f>
        <v>0</v>
      </c>
      <c r="AE5" s="12">
        <f>IF(Z5&gt;0, ROUND((AD5/Z5)*90, 2), 0)</f>
        <v>0.0</v>
      </c>
      <c r="AF5" s="4">
        <f>SUMIFS('Desempenho por Jogo (Logs)'!$L$5:$L$94, 'Desempenho por Jogo (Logs)'!$G$5:$G$94, A5, 'Desempenho por Jogo (Logs)'!$C$5:$C$94, "*Liga*")</f>
        <v>0</v>
      </c>
      <c r="AG5" s="4">
        <v>0</v>
      </c>
      <c r="AH5" s="4">
        <f>SUMIFS('Desempenho por Jogo (Logs)'!$L$5:$L$94, 'Desempenho por Jogo (Logs)'!$G$5:$G$94, A5, 'Desempenho por Jogo (Logs)'!$C$5:$C$94, "*Trophy*")</f>
        <v>0</v>
      </c>
      <c r="AI5" s="4">
        <v>0</v>
      </c>
      <c r="AJ5" s="4">
        <v>0</v>
      </c>
      <c r="AK5" s="12">
        <f>IFERROR(ROUND(AVERAGEIFS('Desempenho por Jogo (Logs)'!$N$5:$N$94, 'Desempenho por Jogo (Logs)'!$G$5:$G$94, A5, 'Desempenho por Jogo (Logs)'!$N$5:$N$94, "&gt;0"), 2), "S/N")</f>
        <v>7.06</v>
      </c>
      <c r="AL5" s="4" t="s">
        <v>56</v>
      </c>
      <c r="AM5" s="4" t="str">
        <f>IF(W5=0, "Nula (0 jogos)", IF(OR(W5&lt;=2, Z5&lt;150), "Baixa — Amostra Insuficiente", IF(AND(W5&gt;=4, Z5&gt;=240), "Alta", "Moderada")))</f>
        <v>Alta (≥4J e ≥270m)</v>
      </c>
      <c r="AN5" s="5" t="str">
        <f>IF(W5=0, "Sem minutagem no save", IF(OR(W5&lt;=2, Z5&lt;150), "Amostra insuficiente (" &amp; W5 &amp; "J / " &amp; Z5 &amp; "m) — Continuar observando", IF(AK5&gt;=7.5, "Promover minutos / Titularidade em ascensão", IF(AK5&gt;=7.0, "Manter minutagem atual", "Avaliar opções / Rotação"))))</f>
        <v>Jovem em Desenvolvimento Ativo — Manter Minutagem</v>
      </c>
      <c r="AO5" s="6" t="s">
        <v>57</v>
      </c>
      <c r="AP5" s="6" t="s">
        <v>58</v>
      </c>
    </row>
    <row r="6" spans="1:42" ht="21" customHeight="1">
      <c r="A6" s="4">
        <v>266100</v>
      </c>
      <c r="B6" s="4">
        <v>6</v>
      </c>
      <c r="C6" s="5" t="s">
        <v>59</v>
      </c>
      <c r="D6" s="6" t="s">
        <v>59</v>
      </c>
      <c r="E6" s="4" t="s">
        <v>60</v>
      </c>
      <c r="F6" s="4" t="s">
        <v>47</v>
      </c>
      <c r="G6" s="4" t="s">
        <v>48</v>
      </c>
      <c r="H6" s="4" t="s">
        <v>61</v>
      </c>
      <c r="I6" s="4" t="s">
        <v>62</v>
      </c>
      <c r="J6" s="4" t="s">
        <v>63</v>
      </c>
      <c r="K6" s="7">
        <v>67</v>
      </c>
      <c r="L6" s="8">
        <v>70</v>
      </c>
      <c r="M6" s="9">
        <f>L6-K6</f>
        <v>3</v>
      </c>
      <c r="N6" s="9">
        <f>K6-67</f>
        <v>0</v>
      </c>
      <c r="O6" s="4">
        <v>24</v>
      </c>
      <c r="P6" s="4" t="s">
        <v>64</v>
      </c>
      <c r="Q6" s="4" t="s">
        <v>53</v>
      </c>
      <c r="R6" s="10">
        <v>1600000</v>
      </c>
      <c r="S6" s="10">
        <v>3700</v>
      </c>
      <c r="T6" s="4" t="s">
        <v>65</v>
      </c>
      <c r="U6" s="4">
        <v>2030</v>
      </c>
      <c r="V6" s="4" t="s">
        <v>66</v>
      </c>
      <c r="W6" s="4">
        <f>COUNTIFS('Desempenho por Jogo (Logs)'!$G$5:$G$94, A6)</f>
        <v>5</v>
      </c>
      <c r="X6" s="4">
        <f>COUNTIFS('Desempenho por Jogo (Logs)'!$G$5:$G$94, A6, 'Desempenho por Jogo (Logs)'!$J$5:$J$94, "&lt;&gt;RES")</f>
        <v>5</v>
      </c>
      <c r="Y6" s="4">
        <f>COUNTIFS('Desempenho por Jogo (Logs)'!$G$5:$G$94, A6, 'Desempenho por Jogo (Logs)'!$J$5:$J$94, "RES")</f>
        <v>0</v>
      </c>
      <c r="Z6" s="4">
        <f>SUMIFS('Desempenho por Jogo (Logs)'!$K$5:$K$94, 'Desempenho por Jogo (Logs)'!$G$5:$G$94, A6)</f>
        <v>403</v>
      </c>
      <c r="AA6" s="11">
        <f>IF(Z6&gt;0, Z6/540, 0)</f>
        <v>0.746</v>
      </c>
      <c r="AB6" s="13">
        <f>SUMIFS('Desempenho por Jogo (Logs)'!$L$5:$L$94, 'Desempenho por Jogo (Logs)'!$G$5:$G$94, A6)</f>
        <v>1</v>
      </c>
      <c r="AC6" s="4">
        <v>1</v>
      </c>
      <c r="AD6" s="13">
        <f>AB6+AC6</f>
        <v>2</v>
      </c>
      <c r="AE6" s="12">
        <f>IF(Z6&gt;0, ROUND((AD6/Z6)*90, 2), 0)</f>
        <v>0.45</v>
      </c>
      <c r="AF6" s="4">
        <f>SUMIFS('Desempenho por Jogo (Logs)'!$L$5:$L$94, 'Desempenho por Jogo (Logs)'!$G$5:$G$94, A6, 'Desempenho por Jogo (Logs)'!$C$5:$C$94, "*Liga*")</f>
        <v>0</v>
      </c>
      <c r="AG6" s="4">
        <v>0</v>
      </c>
      <c r="AH6" s="4">
        <f>SUMIFS('Desempenho por Jogo (Logs)'!$L$5:$L$94, 'Desempenho por Jogo (Logs)'!$G$5:$G$94, A6, 'Desempenho por Jogo (Logs)'!$C$5:$C$94, "*Trophy*")</f>
        <v>1</v>
      </c>
      <c r="AI6" s="4">
        <v>1</v>
      </c>
      <c r="AJ6" s="4">
        <v>1</v>
      </c>
      <c r="AK6" s="12">
        <f>IFERROR(ROUND(AVERAGEIFS('Desempenho por Jogo (Logs)'!$N$5:$N$94, 'Desempenho por Jogo (Logs)'!$G$5:$G$94, A6, 'Desempenho por Jogo (Logs)'!$N$5:$N$94, "&gt;0"), 2), "S/N")</f>
        <v>7.44</v>
      </c>
      <c r="AL6" s="4" t="s">
        <v>67</v>
      </c>
      <c r="AM6" s="4" t="str">
        <f>IF(W6=0, "Nula (0 jogos)", IF(OR(W6&lt;=2, Z6&lt;150), "Baixa — Amostra Insuficiente", IF(AND(W6&gt;=4, Z6&gt;=240), "Alta", "Moderada")))</f>
        <v>Alta (≥4J e ≥270m)</v>
      </c>
      <c r="AN6" s="5" t="str">
        <f>IF(W6=0, "Sem minutagem no save", IF(OR(W6&lt;=2, Z6&lt;150), "Amostra insuficiente (" &amp; W6 &amp; "J / " &amp; Z6 &amp; "m) — Continuar observando", IF(AK6&gt;=7.5, "Promover minutos / Titularidade em ascensão", IF(AK6&gt;=7.0, "Manter minutagem atual", "Avaliar opções / Rotação"))))</f>
        <v>Titular Regular na Temporada — Manter</v>
      </c>
      <c r="AO6" s="6" t="s">
        <v>68</v>
      </c>
      <c r="AP6" s="6" t="s">
        <v>69</v>
      </c>
    </row>
    <row r="7" spans="1:42" ht="21" customHeight="1">
      <c r="A7" s="4">
        <v>275520</v>
      </c>
      <c r="B7" s="4">
        <v>8</v>
      </c>
      <c r="C7" s="5" t="s">
        <v>70</v>
      </c>
      <c r="D7" s="6" t="s">
        <v>71</v>
      </c>
      <c r="E7" s="4" t="s">
        <v>60</v>
      </c>
      <c r="F7" s="4" t="s">
        <v>72</v>
      </c>
      <c r="G7" s="4" t="s">
        <v>73</v>
      </c>
      <c r="H7" s="4" t="s">
        <v>61</v>
      </c>
      <c r="I7" s="4" t="s">
        <v>74</v>
      </c>
      <c r="J7" s="4" t="s">
        <v>63</v>
      </c>
      <c r="K7" s="7">
        <v>67</v>
      </c>
      <c r="L7" s="8">
        <v>76</v>
      </c>
      <c r="M7" s="9">
        <f>L7-K7</f>
        <v>9</v>
      </c>
      <c r="N7" s="9">
        <f>K7-67</f>
        <v>0</v>
      </c>
      <c r="O7" s="4">
        <v>21</v>
      </c>
      <c r="P7" s="4" t="s">
        <v>75</v>
      </c>
      <c r="Q7" s="4" t="s">
        <v>53</v>
      </c>
      <c r="R7" s="10">
        <v>2700000</v>
      </c>
      <c r="S7" s="10">
        <v>10000</v>
      </c>
      <c r="T7" s="4" t="s">
        <v>76</v>
      </c>
      <c r="U7" s="4">
        <v>2029</v>
      </c>
      <c r="V7" s="4" t="s">
        <v>77</v>
      </c>
      <c r="W7" s="4">
        <f>COUNTIFS('Desempenho por Jogo (Logs)'!$G$5:$G$94, A7)</f>
        <v>2</v>
      </c>
      <c r="X7" s="4">
        <f>COUNTIFS('Desempenho por Jogo (Logs)'!$G$5:$G$94, A7, 'Desempenho por Jogo (Logs)'!$J$5:$J$94, "&lt;&gt;RES")</f>
        <v>2</v>
      </c>
      <c r="Y7" s="4">
        <f>COUNTIFS('Desempenho por Jogo (Logs)'!$G$5:$G$94, A7, 'Desempenho por Jogo (Logs)'!$J$5:$J$94, "RES")</f>
        <v>0</v>
      </c>
      <c r="Z7" s="4">
        <f>SUMIFS('Desempenho por Jogo (Logs)'!$K$5:$K$94, 'Desempenho por Jogo (Logs)'!$G$5:$G$94, A7)</f>
        <v>150</v>
      </c>
      <c r="AA7" s="11">
        <f>IF(Z7&gt;0, Z7/540, 0)</f>
        <v>0.278</v>
      </c>
      <c r="AB7" s="13">
        <f>SUMIFS('Desempenho por Jogo (Logs)'!$L$5:$L$94, 'Desempenho por Jogo (Logs)'!$G$5:$G$94, A7)</f>
        <v>1</v>
      </c>
      <c r="AC7" s="4">
        <v>0</v>
      </c>
      <c r="AD7" s="13">
        <f>AB7+AC7</f>
        <v>1</v>
      </c>
      <c r="AE7" s="12">
        <f>IF(Z7&gt;0, ROUND((AD7/Z7)*90, 2), 0)</f>
        <v>0.6</v>
      </c>
      <c r="AF7" s="4">
        <f>SUMIFS('Desempenho por Jogo (Logs)'!$L$5:$L$94, 'Desempenho por Jogo (Logs)'!$G$5:$G$94, A7, 'Desempenho por Jogo (Logs)'!$C$5:$C$94, "*Liga*")</f>
        <v>1</v>
      </c>
      <c r="AG7" s="4">
        <v>0</v>
      </c>
      <c r="AH7" s="4">
        <f>SUMIFS('Desempenho por Jogo (Logs)'!$L$5:$L$94, 'Desempenho por Jogo (Logs)'!$G$5:$G$94, A7, 'Desempenho por Jogo (Logs)'!$C$5:$C$94, "*Trophy*")</f>
        <v>0</v>
      </c>
      <c r="AI7" s="4">
        <v>0</v>
      </c>
      <c r="AJ7" s="4">
        <v>0</v>
      </c>
      <c r="AK7" s="12">
        <f>IFERROR(ROUND(AVERAGEIFS('Desempenho por Jogo (Logs)'!$N$5:$N$94, 'Desempenho por Jogo (Logs)'!$G$5:$G$94, A7, 'Desempenho por Jogo (Logs)'!$N$5:$N$94, "&gt;0"), 2), "S/N")</f>
        <v>6.7</v>
      </c>
      <c r="AL7" s="4" t="s">
        <v>78</v>
      </c>
      <c r="AM7" s="4" t="str">
        <f>IF(W7=0, "Nula (0 jogos)", IF(OR(W7&lt;=2, Z7&lt;150), "Baixa — Amostra Insuficiente", IF(AND(W7&gt;=4, Z7&gt;=240), "Alta", "Moderada")))</f>
        <v>Baixa — Amostra Insuficiente (2J / 150m)</v>
      </c>
      <c r="AN7" s="5" t="str">
        <f>IF(W7=0, "Sem minutagem no save", IF(OR(W7&lt;=2, Z7&lt;150), "Amostra insuficiente (" &amp; W7 &amp; "J / " &amp; Z7 &amp; "m) — Continuar observando", IF(AK7&gt;=7.5, "Promover minutos / Titularidade em ascensão", IF(AK7&gt;=7.0, "Manter minutagem atual", "Avaliar opções / Rotação"))))</f>
        <v>Amostra insuficiente (2J / 150m) — Continuar observando</v>
      </c>
      <c r="AO7" s="6" t="s">
        <v>79</v>
      </c>
      <c r="AP7" s="6" t="s">
        <v>80</v>
      </c>
    </row>
    <row r="8" spans="1:42" ht="21" customHeight="1">
      <c r="A8" s="4">
        <v>260044</v>
      </c>
      <c r="B8" s="4">
        <v>11</v>
      </c>
      <c r="C8" s="5" t="s">
        <v>81</v>
      </c>
      <c r="D8" s="6" t="s">
        <v>82</v>
      </c>
      <c r="E8" s="4" t="s">
        <v>83</v>
      </c>
      <c r="F8" s="4" t="s">
        <v>84</v>
      </c>
      <c r="G8" s="4" t="s">
        <v>73</v>
      </c>
      <c r="H8" s="4" t="s">
        <v>85</v>
      </c>
      <c r="I8" s="4" t="s">
        <v>50</v>
      </c>
      <c r="J8" s="4" t="s">
        <v>86</v>
      </c>
      <c r="K8" s="7">
        <v>67</v>
      </c>
      <c r="L8" s="8">
        <v>72</v>
      </c>
      <c r="M8" s="9">
        <f>L8-K8</f>
        <v>5</v>
      </c>
      <c r="N8" s="9">
        <f>K8-67</f>
        <v>0</v>
      </c>
      <c r="O8" s="4">
        <v>24</v>
      </c>
      <c r="P8" s="4" t="s">
        <v>87</v>
      </c>
      <c r="Q8" s="4" t="s">
        <v>88</v>
      </c>
      <c r="R8" s="10">
        <v>1800000</v>
      </c>
      <c r="S8" s="10">
        <v>5000</v>
      </c>
      <c r="T8" s="4" t="s">
        <v>89</v>
      </c>
      <c r="U8" s="4">
        <v>2028</v>
      </c>
      <c r="V8" s="4" t="s">
        <v>90</v>
      </c>
      <c r="W8" s="4">
        <f>COUNTIFS('Desempenho por Jogo (Logs)'!$G$5:$G$94, A8)</f>
        <v>4</v>
      </c>
      <c r="X8" s="4">
        <f>COUNTIFS('Desempenho por Jogo (Logs)'!$G$5:$G$94, A8, 'Desempenho por Jogo (Logs)'!$J$5:$J$94, "&lt;&gt;RES")</f>
        <v>4</v>
      </c>
      <c r="Y8" s="4">
        <f>COUNTIFS('Desempenho por Jogo (Logs)'!$G$5:$G$94, A8, 'Desempenho por Jogo (Logs)'!$J$5:$J$94, "RES")</f>
        <v>0</v>
      </c>
      <c r="Z8" s="4">
        <f>SUMIFS('Desempenho por Jogo (Logs)'!$K$5:$K$94, 'Desempenho por Jogo (Logs)'!$G$5:$G$94, A8)</f>
        <v>283</v>
      </c>
      <c r="AA8" s="11">
        <f>IF(Z8&gt;0, Z8/540, 0)</f>
        <v>0.524</v>
      </c>
      <c r="AB8" s="13">
        <f>SUMIFS('Desempenho por Jogo (Logs)'!$L$5:$L$94, 'Desempenho por Jogo (Logs)'!$G$5:$G$94, A8)</f>
        <v>3</v>
      </c>
      <c r="AC8" s="4">
        <v>0</v>
      </c>
      <c r="AD8" s="13">
        <f>AB8+AC8</f>
        <v>3</v>
      </c>
      <c r="AE8" s="12">
        <f>IF(Z8&gt;0, ROUND((AD8/Z8)*90, 2), 0)</f>
        <v>0.95</v>
      </c>
      <c r="AF8" s="4">
        <f>SUMIFS('Desempenho por Jogo (Logs)'!$L$5:$L$94, 'Desempenho por Jogo (Logs)'!$G$5:$G$94, A8, 'Desempenho por Jogo (Logs)'!$C$5:$C$94, "*Liga*")</f>
        <v>0</v>
      </c>
      <c r="AG8" s="4">
        <v>0</v>
      </c>
      <c r="AH8" s="4">
        <f>SUMIFS('Desempenho por Jogo (Logs)'!$L$5:$L$94, 'Desempenho por Jogo (Logs)'!$G$5:$G$94, A8, 'Desempenho por Jogo (Logs)'!$C$5:$C$94, "*Trophy*")</f>
        <v>3</v>
      </c>
      <c r="AI8" s="4">
        <v>0</v>
      </c>
      <c r="AJ8" s="4">
        <v>1</v>
      </c>
      <c r="AK8" s="12">
        <f>IFERROR(ROUND(AVERAGEIFS('Desempenho por Jogo (Logs)'!$N$5:$N$94, 'Desempenho por Jogo (Logs)'!$G$5:$G$94, A8, 'Desempenho por Jogo (Logs)'!$N$5:$N$94, "&gt;0"), 2), "S/N")</f>
        <v>6.85</v>
      </c>
      <c r="AL8" s="4" t="s">
        <v>91</v>
      </c>
      <c r="AM8" s="4" t="str">
        <f>IF(W8=0, "Nula (0 jogos)", IF(OR(W8&lt;=2, Z8&lt;150), "Baixa — Amostra Insuficiente", IF(AND(W8&gt;=4, Z8&gt;=240), "Alta", "Moderada")))</f>
        <v>Alta (≥4J e ≥270m)</v>
      </c>
      <c r="AN8" s="5" t="str">
        <f>IF(W8=0, "Sem minutagem no save", IF(OR(W8&lt;=2, Z8&lt;150), "Amostra insuficiente (" &amp; W8 &amp; "J / " &amp; Z8 &amp; "m) — Continuar observando", IF(AK8&gt;=7.5, "Promover minutos / Titularidade em ascensão", IF(AK8&gt;=7.0, "Manter minutagem atual", "Avaliar opções / Rotação"))))</f>
        <v>Titular Regular na Temporada — Manter</v>
      </c>
      <c r="AO8" s="6" t="s">
        <v>92</v>
      </c>
      <c r="AP8" s="6" t="s">
        <v>93</v>
      </c>
    </row>
    <row r="9" spans="1:42" ht="21" customHeight="1">
      <c r="A9" s="4">
        <v>247500</v>
      </c>
      <c r="B9" s="4">
        <v>12</v>
      </c>
      <c r="C9" s="5" t="s">
        <v>94</v>
      </c>
      <c r="D9" s="6" t="s">
        <v>95</v>
      </c>
      <c r="E9" s="4" t="s">
        <v>46</v>
      </c>
      <c r="F9" s="4" t="s">
        <v>96</v>
      </c>
      <c r="G9" s="4" t="s">
        <v>48</v>
      </c>
      <c r="H9" s="4" t="s">
        <v>49</v>
      </c>
      <c r="I9" s="4" t="s">
        <v>50</v>
      </c>
      <c r="J9" s="4" t="s">
        <v>51</v>
      </c>
      <c r="K9" s="7">
        <v>71</v>
      </c>
      <c r="L9" s="8">
        <v>72</v>
      </c>
      <c r="M9" s="9">
        <f>L9-K9</f>
        <v>1</v>
      </c>
      <c r="N9" s="9">
        <f>K9-71</f>
        <v>0</v>
      </c>
      <c r="O9" s="4">
        <v>28</v>
      </c>
      <c r="P9" s="4" t="s">
        <v>97</v>
      </c>
      <c r="Q9" s="4" t="s">
        <v>53</v>
      </c>
      <c r="R9" s="10">
        <v>2100000</v>
      </c>
      <c r="S9" s="10">
        <v>6900</v>
      </c>
      <c r="T9" s="4" t="s">
        <v>98</v>
      </c>
      <c r="U9" s="4">
        <v>2028</v>
      </c>
      <c r="V9" s="4" t="s">
        <v>90</v>
      </c>
      <c r="W9" s="4">
        <f>COUNTIFS('Desempenho por Jogo (Logs)'!$G$5:$G$94, A9)</f>
        <v>6</v>
      </c>
      <c r="X9" s="4">
        <f>COUNTIFS('Desempenho por Jogo (Logs)'!$G$5:$G$94, A9, 'Desempenho por Jogo (Logs)'!$J$5:$J$94, "&lt;&gt;RES")</f>
        <v>6</v>
      </c>
      <c r="Y9" s="4">
        <f>COUNTIFS('Desempenho por Jogo (Logs)'!$G$5:$G$94, A9, 'Desempenho por Jogo (Logs)'!$J$5:$J$94, "RES")</f>
        <v>0</v>
      </c>
      <c r="Z9" s="4">
        <f>SUMIFS('Desempenho por Jogo (Logs)'!$K$5:$K$94, 'Desempenho por Jogo (Logs)'!$G$5:$G$94, A9)</f>
        <v>480</v>
      </c>
      <c r="AA9" s="11">
        <f>IF(Z9&gt;0, Z9/540, 0)</f>
        <v>0.889</v>
      </c>
      <c r="AB9" s="4">
        <f>SUMIFS('Desempenho por Jogo (Logs)'!$L$5:$L$94, 'Desempenho por Jogo (Logs)'!$G$5:$G$94, A9)</f>
        <v>0</v>
      </c>
      <c r="AC9" s="4">
        <v>0</v>
      </c>
      <c r="AD9" s="4">
        <f>AB9+AC9</f>
        <v>0</v>
      </c>
      <c r="AE9" s="12">
        <f>IF(Z9&gt;0, ROUND((AD9/Z9)*90, 2), 0)</f>
        <v>0.0</v>
      </c>
      <c r="AF9" s="4">
        <f>SUMIFS('Desempenho por Jogo (Logs)'!$L$5:$L$94, 'Desempenho por Jogo (Logs)'!$G$5:$G$94, A9, 'Desempenho por Jogo (Logs)'!$C$5:$C$94, "*Liga*")</f>
        <v>0</v>
      </c>
      <c r="AG9" s="4">
        <v>0</v>
      </c>
      <c r="AH9" s="4">
        <f>SUMIFS('Desempenho por Jogo (Logs)'!$L$5:$L$94, 'Desempenho por Jogo (Logs)'!$G$5:$G$94, A9, 'Desempenho por Jogo (Logs)'!$C$5:$C$94, "*Trophy*")</f>
        <v>0</v>
      </c>
      <c r="AI9" s="4">
        <v>0</v>
      </c>
      <c r="AJ9" s="4">
        <v>0</v>
      </c>
      <c r="AK9" s="12">
        <f>IFERROR(ROUND(AVERAGEIFS('Desempenho por Jogo (Logs)'!$N$5:$N$94, 'Desempenho por Jogo (Logs)'!$G$5:$G$94, A9, 'Desempenho por Jogo (Logs)'!$N$5:$N$94, "&gt;0"), 2), "S/N")</f>
        <v>6.73</v>
      </c>
      <c r="AL9" s="4" t="s">
        <v>99</v>
      </c>
      <c r="AM9" s="4" t="str">
        <f>IF(W9=0, "Nula (0 jogos)", IF(OR(W9&lt;=2, Z9&lt;150), "Baixa — Amostra Insuficiente", IF(AND(W9&gt;=4, Z9&gt;=240), "Alta", "Moderada")))</f>
        <v>Alta (≥4J e ≥270m)</v>
      </c>
      <c r="AN9" s="5" t="str">
        <f>IF(W9=0, "Sem minutagem no save", IF(OR(W9&lt;=2, Z9&lt;150), "Amostra insuficiente (" &amp; W9 &amp; "J / " &amp; Z9 &amp; "m) — Continuar observando", IF(AK9&gt;=7.5, "Promover minutos / Titularidade em ascensão", IF(AK9&gt;=7.0, "Manter minutagem atual", "Avaliar opções / Rotação"))))</f>
        <v>Titular Regular na Temporada — Manter</v>
      </c>
      <c r="AO9" s="6" t="s">
        <v>100</v>
      </c>
      <c r="AP9" s="6" t="s">
        <v>101</v>
      </c>
    </row>
    <row r="10" spans="1:42" ht="21" customHeight="1">
      <c r="A10" s="4">
        <v>279603</v>
      </c>
      <c r="B10" s="4">
        <v>15</v>
      </c>
      <c r="C10" s="5" t="s">
        <v>102</v>
      </c>
      <c r="D10" s="6" t="s">
        <v>103</v>
      </c>
      <c r="E10" s="4" t="s">
        <v>104</v>
      </c>
      <c r="F10" s="4" t="s">
        <v>105</v>
      </c>
      <c r="G10" s="4" t="s">
        <v>48</v>
      </c>
      <c r="H10" s="4" t="s">
        <v>106</v>
      </c>
      <c r="I10" s="4" t="s">
        <v>107</v>
      </c>
      <c r="J10" s="4" t="s">
        <v>86</v>
      </c>
      <c r="K10" s="7">
        <v>68</v>
      </c>
      <c r="L10" s="8">
        <v>81</v>
      </c>
      <c r="M10" s="9">
        <f>L10-K10</f>
        <v>13</v>
      </c>
      <c r="N10" s="9">
        <f>K10-67</f>
        <v>1</v>
      </c>
      <c r="O10" s="4">
        <v>19</v>
      </c>
      <c r="P10" s="4" t="s">
        <v>108</v>
      </c>
      <c r="Q10" s="4" t="s">
        <v>53</v>
      </c>
      <c r="R10" s="10">
        <v>2900000</v>
      </c>
      <c r="S10" s="10">
        <v>3300</v>
      </c>
      <c r="T10" s="4" t="s">
        <v>109</v>
      </c>
      <c r="U10" s="4">
        <v>2029</v>
      </c>
      <c r="V10" s="4" t="s">
        <v>110</v>
      </c>
      <c r="W10" s="4">
        <f>COUNTIFS('Desempenho por Jogo (Logs)'!$G$5:$G$94, A10)</f>
        <v>3</v>
      </c>
      <c r="X10" s="4">
        <f>COUNTIFS('Desempenho por Jogo (Logs)'!$G$5:$G$94, A10, 'Desempenho por Jogo (Logs)'!$J$5:$J$94, "&lt;&gt;RES")</f>
        <v>3</v>
      </c>
      <c r="Y10" s="4">
        <f>COUNTIFS('Desempenho por Jogo (Logs)'!$G$5:$G$94, A10, 'Desempenho por Jogo (Logs)'!$J$5:$J$94, "RES")</f>
        <v>0</v>
      </c>
      <c r="Z10" s="4">
        <f>SUMIFS('Desempenho por Jogo (Logs)'!$K$5:$K$94, 'Desempenho por Jogo (Logs)'!$G$5:$G$94, A10)</f>
        <v>223</v>
      </c>
      <c r="AA10" s="11">
        <f>IF(Z10&gt;0, Z10/540, 0)</f>
        <v>0.413</v>
      </c>
      <c r="AB10" s="4">
        <f>SUMIFS('Desempenho por Jogo (Logs)'!$L$5:$L$94, 'Desempenho por Jogo (Logs)'!$G$5:$G$94, A10)</f>
        <v>0</v>
      </c>
      <c r="AC10" s="4">
        <v>1</v>
      </c>
      <c r="AD10" s="13">
        <f>AB10+AC10</f>
        <v>1</v>
      </c>
      <c r="AE10" s="12">
        <f>IF(Z10&gt;0, ROUND((AD10/Z10)*90, 2), 0)</f>
        <v>0.4</v>
      </c>
      <c r="AF10" s="4">
        <f>SUMIFS('Desempenho por Jogo (Logs)'!$L$5:$L$94, 'Desempenho por Jogo (Logs)'!$G$5:$G$94, A10, 'Desempenho por Jogo (Logs)'!$C$5:$C$94, "*Liga*")</f>
        <v>0</v>
      </c>
      <c r="AG10" s="4">
        <v>0</v>
      </c>
      <c r="AH10" s="4">
        <f>SUMIFS('Desempenho por Jogo (Logs)'!$L$5:$L$94, 'Desempenho por Jogo (Logs)'!$G$5:$G$94, A10, 'Desempenho por Jogo (Logs)'!$C$5:$C$94, "*Trophy*")</f>
        <v>0</v>
      </c>
      <c r="AI10" s="4">
        <v>1</v>
      </c>
      <c r="AJ10" s="4">
        <v>0</v>
      </c>
      <c r="AK10" s="12">
        <f>IFERROR(ROUND(AVERAGEIFS('Desempenho por Jogo (Logs)'!$N$5:$N$94, 'Desempenho por Jogo (Logs)'!$G$5:$G$94, A10, 'Desempenho por Jogo (Logs)'!$N$5:$N$94, "&gt;0"), 2), "S/N")</f>
        <v>6.83</v>
      </c>
      <c r="AL10" s="4" t="s">
        <v>111</v>
      </c>
      <c r="AM10" s="4" t="str">
        <f>IF(W10=0, "Nula (0 jogos)", IF(OR(W10&lt;=2, Z10&lt;150), "Baixa — Amostra Insuficiente", IF(AND(W10&gt;=4, Z10&gt;=240), "Alta", "Moderada")))</f>
        <v>Moderada (≥3J e ≥150m)</v>
      </c>
      <c r="AN10" s="5" t="str">
        <f>IF(W10=0, "Sem minutagem no save", IF(OR(W10&lt;=2, Z10&lt;150), "Amostra insuficiente (" &amp; W10 &amp; "J / " &amp; Z10 &amp; "m) — Continuar observando", IF(AK10&gt;=7.5, "Promover minutos / Titularidade em ascensão", IF(AK10&gt;=7.0, "Manter minutagem atual", "Avaliar opções / Rotação"))))</f>
        <v>Jovem em Desenvolvimento Ativo — Manter Minutagem</v>
      </c>
      <c r="AO10" s="6" t="s">
        <v>112</v>
      </c>
      <c r="AP10" s="6" t="s">
        <v>113</v>
      </c>
    </row>
    <row r="11" spans="1:42" ht="21" customHeight="1">
      <c r="A11" s="4">
        <v>241505</v>
      </c>
      <c r="B11" s="4">
        <v>17</v>
      </c>
      <c r="C11" s="5" t="s">
        <v>114</v>
      </c>
      <c r="D11" s="6" t="s">
        <v>114</v>
      </c>
      <c r="E11" s="4" t="s">
        <v>115</v>
      </c>
      <c r="F11" s="4" t="s">
        <v>116</v>
      </c>
      <c r="G11" s="4" t="s">
        <v>48</v>
      </c>
      <c r="H11" s="4" t="s">
        <v>117</v>
      </c>
      <c r="I11" s="4" t="s">
        <v>107</v>
      </c>
      <c r="J11" s="4" t="s">
        <v>51</v>
      </c>
      <c r="K11" s="7">
        <v>66</v>
      </c>
      <c r="L11" s="8">
        <v>67</v>
      </c>
      <c r="M11" s="9">
        <f>L11-K11</f>
        <v>1</v>
      </c>
      <c r="N11" s="9">
        <f>K11-66</f>
        <v>0</v>
      </c>
      <c r="O11" s="4">
        <v>26</v>
      </c>
      <c r="P11" s="4" t="s">
        <v>118</v>
      </c>
      <c r="Q11" s="4" t="s">
        <v>119</v>
      </c>
      <c r="R11" s="10">
        <v>1100000</v>
      </c>
      <c r="S11" s="10">
        <v>3500</v>
      </c>
      <c r="T11" s="4" t="s">
        <v>120</v>
      </c>
      <c r="U11" s="4">
        <v>2027</v>
      </c>
      <c r="V11" s="4" t="s">
        <v>55</v>
      </c>
      <c r="W11" s="4">
        <f>COUNTIFS('Desempenho por Jogo (Logs)'!$G$5:$G$94, A11)</f>
        <v>3</v>
      </c>
      <c r="X11" s="4">
        <f>COUNTIFS('Desempenho por Jogo (Logs)'!$G$5:$G$94, A11, 'Desempenho por Jogo (Logs)'!$J$5:$J$94, "&lt;&gt;RES")</f>
        <v>3</v>
      </c>
      <c r="Y11" s="4">
        <f>COUNTIFS('Desempenho por Jogo (Logs)'!$G$5:$G$94, A11, 'Desempenho por Jogo (Logs)'!$J$5:$J$94, "RES")</f>
        <v>0</v>
      </c>
      <c r="Z11" s="4">
        <f>SUMIFS('Desempenho por Jogo (Logs)'!$K$5:$K$94, 'Desempenho por Jogo (Logs)'!$G$5:$G$94, A11)</f>
        <v>180</v>
      </c>
      <c r="AA11" s="11">
        <f>IF(Z11&gt;0, Z11/540, 0)</f>
        <v>0.33299999999999996</v>
      </c>
      <c r="AB11" s="4">
        <f>SUMIFS('Desempenho por Jogo (Logs)'!$L$5:$L$94, 'Desempenho por Jogo (Logs)'!$G$5:$G$94, A11)</f>
        <v>0</v>
      </c>
      <c r="AC11" s="4">
        <v>0</v>
      </c>
      <c r="AD11" s="4">
        <f>AB11+AC11</f>
        <v>0</v>
      </c>
      <c r="AE11" s="12">
        <f>IF(Z11&gt;0, ROUND((AD11/Z11)*90, 2), 0)</f>
        <v>0.0</v>
      </c>
      <c r="AF11" s="4">
        <f>SUMIFS('Desempenho por Jogo (Logs)'!$L$5:$L$94, 'Desempenho por Jogo (Logs)'!$G$5:$G$94, A11, 'Desempenho por Jogo (Logs)'!$C$5:$C$94, "*Liga*")</f>
        <v>0</v>
      </c>
      <c r="AG11" s="4">
        <v>0</v>
      </c>
      <c r="AH11" s="4">
        <f>SUMIFS('Desempenho por Jogo (Logs)'!$L$5:$L$94, 'Desempenho por Jogo (Logs)'!$G$5:$G$94, A11, 'Desempenho por Jogo (Logs)'!$C$5:$C$94, "*Trophy*")</f>
        <v>0</v>
      </c>
      <c r="AI11" s="4">
        <v>0</v>
      </c>
      <c r="AJ11" s="4">
        <v>0</v>
      </c>
      <c r="AK11" s="12">
        <f>IFERROR(ROUND(AVERAGEIFS('Desempenho por Jogo (Logs)'!$N$5:$N$94, 'Desempenho por Jogo (Logs)'!$G$5:$G$94, A11, 'Desempenho por Jogo (Logs)'!$N$5:$N$94, "&gt;0"), 2), "S/N")</f>
        <v>6.97</v>
      </c>
      <c r="AL11" s="4" t="s">
        <v>121</v>
      </c>
      <c r="AM11" s="4" t="str">
        <f>IF(W11=0, "Nula (0 jogos)", IF(OR(W11&lt;=2, Z11&lt;150), "Baixa — Amostra Insuficiente", IF(AND(W11&gt;=4, Z11&gt;=240), "Alta", "Moderada")))</f>
        <v>Moderada (≥3J e ≥150m)</v>
      </c>
      <c r="AN11" s="5" t="str">
        <f>IF(W11=0, "Sem minutagem no save", IF(OR(W11&lt;=2, Z11&lt;150), "Amostra insuficiente (" &amp; W11 &amp; "J / " &amp; Z11 &amp; "m) — Continuar observando", IF(AK11&gt;=7.5, "Promover minutos / Titularidade em ascensão", IF(AK11&gt;=7.0, "Manter minutagem atual", "Avaliar opções / Rotação"))))</f>
        <v>Manter na Rotação do Elenco</v>
      </c>
      <c r="AO11" s="6" t="s">
        <v>122</v>
      </c>
      <c r="AP11" s="6" t="s">
        <v>123</v>
      </c>
    </row>
    <row r="12" spans="1:42" ht="21" customHeight="1">
      <c r="A12" s="4">
        <v>263006</v>
      </c>
      <c r="B12" s="4">
        <v>19</v>
      </c>
      <c r="C12" s="5" t="s">
        <v>124</v>
      </c>
      <c r="D12" s="6" t="s">
        <v>125</v>
      </c>
      <c r="E12" s="4" t="s">
        <v>126</v>
      </c>
      <c r="F12" s="4" t="s">
        <v>127</v>
      </c>
      <c r="G12" s="4" t="s">
        <v>48</v>
      </c>
      <c r="H12" s="4" t="s">
        <v>128</v>
      </c>
      <c r="I12" s="4" t="s">
        <v>129</v>
      </c>
      <c r="J12" s="4" t="s">
        <v>51</v>
      </c>
      <c r="K12" s="7">
        <v>70</v>
      </c>
      <c r="L12" s="8">
        <v>73</v>
      </c>
      <c r="M12" s="9">
        <f>L12-K12</f>
        <v>3</v>
      </c>
      <c r="N12" s="9">
        <f>K12-70</f>
        <v>0</v>
      </c>
      <c r="O12" s="4">
        <v>25</v>
      </c>
      <c r="P12" s="4" t="s">
        <v>130</v>
      </c>
      <c r="Q12" s="4" t="s">
        <v>53</v>
      </c>
      <c r="R12" s="10">
        <v>2300000</v>
      </c>
      <c r="S12" s="10">
        <v>5600</v>
      </c>
      <c r="T12" s="4" t="s">
        <v>98</v>
      </c>
      <c r="U12" s="4">
        <v>2029</v>
      </c>
      <c r="V12" s="4" t="s">
        <v>77</v>
      </c>
      <c r="W12" s="4">
        <f>COUNTIFS('Desempenho por Jogo (Logs)'!$G$5:$G$94, A12)</f>
        <v>5</v>
      </c>
      <c r="X12" s="4">
        <f>COUNTIFS('Desempenho por Jogo (Logs)'!$G$5:$G$94, A12, 'Desempenho por Jogo (Logs)'!$J$5:$J$94, "&lt;&gt;RES")</f>
        <v>5</v>
      </c>
      <c r="Y12" s="4">
        <f>COUNTIFS('Desempenho por Jogo (Logs)'!$G$5:$G$94, A12, 'Desempenho por Jogo (Logs)'!$J$5:$J$94, "RES")</f>
        <v>0</v>
      </c>
      <c r="Z12" s="4">
        <f>SUMIFS('Desempenho por Jogo (Logs)'!$K$5:$K$94, 'Desempenho por Jogo (Logs)'!$G$5:$G$94, A12)</f>
        <v>315</v>
      </c>
      <c r="AA12" s="11">
        <f>IF(Z12&gt;0, Z12/540, 0)</f>
        <v>0.583</v>
      </c>
      <c r="AB12" s="13">
        <f>SUMIFS('Desempenho por Jogo (Logs)'!$L$5:$L$94, 'Desempenho por Jogo (Logs)'!$G$5:$G$94, A12)</f>
        <v>1</v>
      </c>
      <c r="AC12" s="4">
        <v>1</v>
      </c>
      <c r="AD12" s="13">
        <f>AB12+AC12</f>
        <v>2</v>
      </c>
      <c r="AE12" s="12">
        <f>IF(Z12&gt;0, ROUND((AD12/Z12)*90, 2), 0)</f>
        <v>0.57</v>
      </c>
      <c r="AF12" s="4">
        <f>SUMIFS('Desempenho por Jogo (Logs)'!$L$5:$L$94, 'Desempenho por Jogo (Logs)'!$G$5:$G$94, A12, 'Desempenho por Jogo (Logs)'!$C$5:$C$94, "*Liga*")</f>
        <v>0</v>
      </c>
      <c r="AG12" s="4">
        <v>1</v>
      </c>
      <c r="AH12" s="4">
        <f>SUMIFS('Desempenho por Jogo (Logs)'!$L$5:$L$94, 'Desempenho por Jogo (Logs)'!$G$5:$G$94, A12, 'Desempenho por Jogo (Logs)'!$C$5:$C$94, "*Trophy*")</f>
        <v>1</v>
      </c>
      <c r="AI12" s="4">
        <v>0</v>
      </c>
      <c r="AJ12" s="4">
        <v>0</v>
      </c>
      <c r="AK12" s="12">
        <f>IFERROR(ROUND(AVERAGEIFS('Desempenho por Jogo (Logs)'!$N$5:$N$94, 'Desempenho por Jogo (Logs)'!$G$5:$G$94, A12, 'Desempenho por Jogo (Logs)'!$N$5:$N$94, "&gt;0"), 2), "S/N")</f>
        <v>7.28</v>
      </c>
      <c r="AL12" s="4" t="s">
        <v>131</v>
      </c>
      <c r="AM12" s="4" t="str">
        <f>IF(W12=0, "Nula (0 jogos)", IF(OR(W12&lt;=2, Z12&lt;150), "Baixa — Amostra Insuficiente", IF(AND(W12&gt;=4, Z12&gt;=240), "Alta", "Moderada")))</f>
        <v>Alta (≥4J e ≥270m)</v>
      </c>
      <c r="AN12" s="5" t="str">
        <f>IF(W12=0, "Sem minutagem no save", IF(OR(W12&lt;=2, Z12&lt;150), "Amostra insuficiente (" &amp; W12 &amp; "J / " &amp; Z12 &amp; "m) — Continuar observando", IF(AK12&gt;=7.5, "Promover minutos / Titularidade em ascensão", IF(AK12&gt;=7.0, "Manter minutagem atual", "Avaliar opções / Rotação"))))</f>
        <v>Titular Regular na Temporada — Manter</v>
      </c>
      <c r="AO12" s="6" t="s">
        <v>132</v>
      </c>
      <c r="AP12" s="6" t="s">
        <v>133</v>
      </c>
    </row>
    <row r="13" spans="1:42" ht="21" customHeight="1">
      <c r="A13" s="4">
        <v>279881</v>
      </c>
      <c r="B13" s="4">
        <v>21</v>
      </c>
      <c r="C13" s="5" t="s">
        <v>134</v>
      </c>
      <c r="D13" s="6" t="s">
        <v>134</v>
      </c>
      <c r="E13" s="4" t="s">
        <v>60</v>
      </c>
      <c r="F13" s="4" t="s">
        <v>135</v>
      </c>
      <c r="G13" s="4" t="s">
        <v>48</v>
      </c>
      <c r="H13" s="4" t="s">
        <v>61</v>
      </c>
      <c r="I13" s="4" t="s">
        <v>62</v>
      </c>
      <c r="J13" s="4" t="s">
        <v>63</v>
      </c>
      <c r="K13" s="7">
        <v>65</v>
      </c>
      <c r="L13" s="8">
        <v>78</v>
      </c>
      <c r="M13" s="9">
        <f>L13-K13</f>
        <v>13</v>
      </c>
      <c r="N13" s="9">
        <f>K13-64</f>
        <v>1</v>
      </c>
      <c r="O13" s="4">
        <v>19</v>
      </c>
      <c r="P13" s="4" t="s">
        <v>136</v>
      </c>
      <c r="Q13" s="4" t="s">
        <v>137</v>
      </c>
      <c r="R13" s="10">
        <v>1600000</v>
      </c>
      <c r="S13" s="10">
        <v>1900</v>
      </c>
      <c r="T13" s="4" t="s">
        <v>138</v>
      </c>
      <c r="U13" s="4">
        <v>2029</v>
      </c>
      <c r="V13" s="4" t="s">
        <v>77</v>
      </c>
      <c r="W13" s="4">
        <f>COUNTIFS('Desempenho por Jogo (Logs)'!$G$5:$G$94, A13)</f>
        <v>5</v>
      </c>
      <c r="X13" s="4">
        <f>COUNTIFS('Desempenho por Jogo (Logs)'!$G$5:$G$94, A13, 'Desempenho por Jogo (Logs)'!$J$5:$J$94, "&lt;&gt;RES")</f>
        <v>5</v>
      </c>
      <c r="Y13" s="4">
        <f>COUNTIFS('Desempenho por Jogo (Logs)'!$G$5:$G$94, A13, 'Desempenho por Jogo (Logs)'!$J$5:$J$94, "RES")</f>
        <v>0</v>
      </c>
      <c r="Z13" s="4">
        <f>SUMIFS('Desempenho por Jogo (Logs)'!$K$5:$K$94, 'Desempenho por Jogo (Logs)'!$G$5:$G$94, A13)</f>
        <v>375</v>
      </c>
      <c r="AA13" s="11">
        <f>IF(Z13&gt;0, Z13/540, 0)</f>
        <v>0.6940000000000001</v>
      </c>
      <c r="AB13" s="4">
        <f>SUMIFS('Desempenho por Jogo (Logs)'!$L$5:$L$94, 'Desempenho por Jogo (Logs)'!$G$5:$G$94, A13)</f>
        <v>0</v>
      </c>
      <c r="AC13" s="4">
        <v>2</v>
      </c>
      <c r="AD13" s="13">
        <f>AB13+AC13</f>
        <v>2</v>
      </c>
      <c r="AE13" s="12">
        <f>IF(Z13&gt;0, ROUND((AD13/Z13)*90, 2), 0)</f>
        <v>0.48</v>
      </c>
      <c r="AF13" s="4">
        <f>SUMIFS('Desempenho por Jogo (Logs)'!$L$5:$L$94, 'Desempenho por Jogo (Logs)'!$G$5:$G$94, A13, 'Desempenho por Jogo (Logs)'!$C$5:$C$94, "*Liga*")</f>
        <v>0</v>
      </c>
      <c r="AG13" s="4">
        <v>1</v>
      </c>
      <c r="AH13" s="4">
        <f>SUMIFS('Desempenho por Jogo (Logs)'!$L$5:$L$94, 'Desempenho por Jogo (Logs)'!$G$5:$G$94, A13, 'Desempenho por Jogo (Logs)'!$C$5:$C$94, "*Trophy*")</f>
        <v>0</v>
      </c>
      <c r="AI13" s="4">
        <v>1</v>
      </c>
      <c r="AJ13" s="4">
        <v>0</v>
      </c>
      <c r="AK13" s="12">
        <f>IFERROR(ROUND(AVERAGEIFS('Desempenho por Jogo (Logs)'!$N$5:$N$94, 'Desempenho por Jogo (Logs)'!$G$5:$G$94, A13, 'Desempenho por Jogo (Logs)'!$N$5:$N$94, "&gt;0"), 2), "S/N")</f>
        <v>8.44</v>
      </c>
      <c r="AL13" s="4" t="s">
        <v>139</v>
      </c>
      <c r="AM13" s="4" t="str">
        <f>IF(W13=0, "Nula (0 jogos)", IF(OR(W13&lt;=2, Z13&lt;150), "Baixa — Amostra Insuficiente", IF(AND(W13&gt;=4, Z13&gt;=240), "Alta", "Moderada")))</f>
        <v>Alta (≥4J e ≥270m)</v>
      </c>
      <c r="AN13" s="5" t="str">
        <f>IF(W13=0, "Sem minutagem no save", IF(OR(W13&lt;=2, Z13&lt;150), "Amostra insuficiente (" &amp; W13 &amp; "J / " &amp; Z13 &amp; "m) — Continuar observando", IF(AK13&gt;=7.5, "Promover minutos / Titularidade em ascensão", IF(AK13&gt;=7.0, "Manter minutagem atual", "Avaliar opções / Rotação"))))</f>
        <v>Jovem em Desenvolvimento Ativo — Manter Minutagem</v>
      </c>
      <c r="AO13" s="6" t="s">
        <v>140</v>
      </c>
      <c r="AP13" s="6" t="s">
        <v>141</v>
      </c>
    </row>
    <row r="14" spans="1:42" ht="21" customHeight="1">
      <c r="A14" s="4">
        <v>276198</v>
      </c>
      <c r="B14" s="4">
        <v>25</v>
      </c>
      <c r="C14" s="5" t="s">
        <v>142</v>
      </c>
      <c r="D14" s="6" t="s">
        <v>142</v>
      </c>
      <c r="E14" s="4" t="s">
        <v>143</v>
      </c>
      <c r="F14" s="4" t="s">
        <v>144</v>
      </c>
      <c r="G14" s="4" t="s">
        <v>48</v>
      </c>
      <c r="H14" s="4" t="s">
        <v>145</v>
      </c>
      <c r="I14" s="4" t="s">
        <v>50</v>
      </c>
      <c r="J14" s="4" t="s">
        <v>146</v>
      </c>
      <c r="K14" s="7">
        <v>71</v>
      </c>
      <c r="L14" s="8">
        <v>82</v>
      </c>
      <c r="M14" s="9">
        <f>L14-K14</f>
        <v>11</v>
      </c>
      <c r="N14" s="9">
        <f>K14-70</f>
        <v>1</v>
      </c>
      <c r="O14" s="4">
        <v>19</v>
      </c>
      <c r="P14" s="4" t="s">
        <v>147</v>
      </c>
      <c r="Q14" s="4" t="s">
        <v>148</v>
      </c>
      <c r="R14" s="10">
        <v>3900000</v>
      </c>
      <c r="S14" s="10">
        <v>1900</v>
      </c>
      <c r="T14" s="4" t="s">
        <v>109</v>
      </c>
      <c r="U14" s="4">
        <v>2028</v>
      </c>
      <c r="V14" s="4" t="s">
        <v>110</v>
      </c>
      <c r="W14" s="4">
        <f>COUNTIFS('Desempenho por Jogo (Logs)'!$G$5:$G$94, A14)</f>
        <v>4</v>
      </c>
      <c r="X14" s="4">
        <f>COUNTIFS('Desempenho por Jogo (Logs)'!$G$5:$G$94, A14, 'Desempenho por Jogo (Logs)'!$J$5:$J$94, "&lt;&gt;RES")</f>
        <v>4</v>
      </c>
      <c r="Y14" s="4">
        <f>COUNTIFS('Desempenho por Jogo (Logs)'!$G$5:$G$94, A14, 'Desempenho por Jogo (Logs)'!$J$5:$J$94, "RES")</f>
        <v>0</v>
      </c>
      <c r="Z14" s="4">
        <f>SUMIFS('Desempenho por Jogo (Logs)'!$K$5:$K$94, 'Desempenho por Jogo (Logs)'!$G$5:$G$94, A14)</f>
        <v>360</v>
      </c>
      <c r="AA14" s="11">
        <f>IF(Z14&gt;0, Z14/540, 0)</f>
        <v>0.667</v>
      </c>
      <c r="AB14" s="4">
        <f>SUMIFS('Desempenho por Jogo (Logs)'!$L$5:$L$94, 'Desempenho por Jogo (Logs)'!$G$5:$G$94, A14)</f>
        <v>0</v>
      </c>
      <c r="AC14" s="4">
        <v>0</v>
      </c>
      <c r="AD14" s="4">
        <f>AB14+AC14</f>
        <v>0</v>
      </c>
      <c r="AE14" s="12">
        <f>IF(Z14&gt;0, ROUND((AD14/Z14)*90, 2), 0)</f>
        <v>0.0</v>
      </c>
      <c r="AF14" s="4">
        <f>SUMIFS('Desempenho por Jogo (Logs)'!$L$5:$L$94, 'Desempenho por Jogo (Logs)'!$G$5:$G$94, A14, 'Desempenho por Jogo (Logs)'!$C$5:$C$94, "*Liga*")</f>
        <v>0</v>
      </c>
      <c r="AG14" s="4">
        <v>0</v>
      </c>
      <c r="AH14" s="4">
        <f>SUMIFS('Desempenho por Jogo (Logs)'!$L$5:$L$94, 'Desempenho por Jogo (Logs)'!$G$5:$G$94, A14, 'Desempenho por Jogo (Logs)'!$C$5:$C$94, "*Trophy*")</f>
        <v>0</v>
      </c>
      <c r="AI14" s="4">
        <v>0</v>
      </c>
      <c r="AJ14" s="4">
        <v>1</v>
      </c>
      <c r="AK14" s="12">
        <f>IFERROR(ROUND(AVERAGEIFS('Desempenho por Jogo (Logs)'!$N$5:$N$94, 'Desempenho por Jogo (Logs)'!$G$5:$G$94, A14, 'Desempenho por Jogo (Logs)'!$N$5:$N$94, "&gt;0"), 2), "S/N")</f>
        <v>6.9</v>
      </c>
      <c r="AL14" s="4" t="s">
        <v>149</v>
      </c>
      <c r="AM14" s="4" t="str">
        <f>IF(W14=0, "Nula (0 jogos)", IF(OR(W14&lt;=2, Z14&lt;150), "Baixa — Amostra Insuficiente", IF(AND(W14&gt;=4, Z14&gt;=240), "Alta", "Moderada")))</f>
        <v>Alta (≥4J e ≥270m)</v>
      </c>
      <c r="AN14" s="5" t="str">
        <f>IF(W14=0, "Sem minutagem no save", IF(OR(W14&lt;=2, Z14&lt;150), "Amostra insuficiente (" &amp; W14 &amp; "J / " &amp; Z14 &amp; "m) — Continuar observando", IF(AK14&gt;=7.5, "Promover minutos / Titularidade em ascensão", IF(AK14&gt;=7.0, "Manter minutagem atual", "Avaliar opções / Rotação"))))</f>
        <v>Jovem em Desenvolvimento Ativo — Manter Minutagem</v>
      </c>
      <c r="AO14" s="6" t="s">
        <v>150</v>
      </c>
      <c r="AP14" s="6" t="s">
        <v>151</v>
      </c>
    </row>
    <row r="15" spans="1:42" ht="21" customHeight="1">
      <c r="A15" s="4">
        <v>75437</v>
      </c>
      <c r="B15" s="4">
        <v>29</v>
      </c>
      <c r="C15" s="5" t="s">
        <v>152</v>
      </c>
      <c r="D15" s="6" t="s">
        <v>153</v>
      </c>
      <c r="E15" s="4" t="s">
        <v>154</v>
      </c>
      <c r="F15" s="4" t="s">
        <v>155</v>
      </c>
      <c r="G15" s="4" t="s">
        <v>48</v>
      </c>
      <c r="H15" s="4" t="s">
        <v>156</v>
      </c>
      <c r="I15" s="4" t="s">
        <v>129</v>
      </c>
      <c r="J15" s="4" t="s">
        <v>86</v>
      </c>
      <c r="K15" s="7">
        <v>71</v>
      </c>
      <c r="L15" s="8">
        <v>82</v>
      </c>
      <c r="M15" s="9">
        <f>L15-K15</f>
        <v>11</v>
      </c>
      <c r="N15" s="9">
        <f>K15-70</f>
        <v>1</v>
      </c>
      <c r="O15" s="4">
        <v>19</v>
      </c>
      <c r="P15" s="4" t="s">
        <v>157</v>
      </c>
      <c r="Q15" s="4" t="s">
        <v>158</v>
      </c>
      <c r="R15" s="10">
        <v>4500000</v>
      </c>
      <c r="S15" s="10">
        <v>4700</v>
      </c>
      <c r="T15" s="4" t="s">
        <v>109</v>
      </c>
      <c r="U15" s="4">
        <v>2027</v>
      </c>
      <c r="V15" s="4" t="s">
        <v>110</v>
      </c>
      <c r="W15" s="4">
        <f>COUNTIFS('Desempenho por Jogo (Logs)'!$G$5:$G$94, A15)</f>
        <v>4</v>
      </c>
      <c r="X15" s="4">
        <f>COUNTIFS('Desempenho por Jogo (Logs)'!$G$5:$G$94, A15, 'Desempenho por Jogo (Logs)'!$J$5:$J$94, "&lt;&gt;RES")</f>
        <v>4</v>
      </c>
      <c r="Y15" s="4">
        <f>COUNTIFS('Desempenho por Jogo (Logs)'!$G$5:$G$94, A15, 'Desempenho por Jogo (Logs)'!$J$5:$J$94, "RES")</f>
        <v>0</v>
      </c>
      <c r="Z15" s="4">
        <f>SUMIFS('Desempenho por Jogo (Logs)'!$K$5:$K$94, 'Desempenho por Jogo (Logs)'!$G$5:$G$94, A15)</f>
        <v>238</v>
      </c>
      <c r="AA15" s="11">
        <f>IF(Z15&gt;0, Z15/540, 0)</f>
        <v>0.441</v>
      </c>
      <c r="AB15" s="13">
        <f>SUMIFS('Desempenho por Jogo (Logs)'!$L$5:$L$94, 'Desempenho por Jogo (Logs)'!$G$5:$G$94, A15)</f>
        <v>1</v>
      </c>
      <c r="AC15" s="4">
        <v>0</v>
      </c>
      <c r="AD15" s="13">
        <f>AB15+AC15</f>
        <v>1</v>
      </c>
      <c r="AE15" s="12">
        <f>IF(Z15&gt;0, ROUND((AD15/Z15)*90, 2), 0)</f>
        <v>0.38</v>
      </c>
      <c r="AF15" s="4">
        <f>SUMIFS('Desempenho por Jogo (Logs)'!$L$5:$L$94, 'Desempenho por Jogo (Logs)'!$G$5:$G$94, A15, 'Desempenho por Jogo (Logs)'!$C$5:$C$94, "*Liga*")</f>
        <v>1</v>
      </c>
      <c r="AG15" s="4">
        <v>0</v>
      </c>
      <c r="AH15" s="4">
        <f>SUMIFS('Desempenho por Jogo (Logs)'!$L$5:$L$94, 'Desempenho por Jogo (Logs)'!$G$5:$G$94, A15, 'Desempenho por Jogo (Logs)'!$C$5:$C$94, "*Trophy*")</f>
        <v>0</v>
      </c>
      <c r="AI15" s="4">
        <v>0</v>
      </c>
      <c r="AJ15" s="4">
        <v>0</v>
      </c>
      <c r="AK15" s="12">
        <f>IFERROR(ROUND(AVERAGEIFS('Desempenho por Jogo (Logs)'!$N$5:$N$94, 'Desempenho por Jogo (Logs)'!$G$5:$G$94, A15, 'Desempenho por Jogo (Logs)'!$N$5:$N$94, "&gt;0"), 2), "S/N")</f>
        <v>7.0</v>
      </c>
      <c r="AL15" s="4" t="s">
        <v>159</v>
      </c>
      <c r="AM15" s="4" t="str">
        <f>IF(W15=0, "Nula (0 jogos)", IF(OR(W15&lt;=2, Z15&lt;150), "Baixa — Amostra Insuficiente", IF(AND(W15&gt;=4, Z15&gt;=240), "Alta", "Moderada")))</f>
        <v>Moderada (≥3J e ≥150m)</v>
      </c>
      <c r="AN15" s="5" t="str">
        <f>IF(W15=0, "Sem minutagem no save", IF(OR(W15&lt;=2, Z15&lt;150), "Amostra insuficiente (" &amp; W15 &amp; "J / " &amp; Z15 &amp; "m) — Continuar observando", IF(AK15&gt;=7.5, "Promover minutos / Titularidade em ascensão", IF(AK15&gt;=7.0, "Manter minutagem atual", "Avaliar opções / Rotação"))))</f>
        <v>Jovem em Desenvolvimento Ativo — Manter Minutagem</v>
      </c>
      <c r="AO15" s="6" t="s">
        <v>160</v>
      </c>
      <c r="AP15" s="6" t="s">
        <v>161</v>
      </c>
    </row>
    <row r="16" spans="1:42" ht="21" customHeight="1">
      <c r="A16" s="4">
        <v>262498</v>
      </c>
      <c r="B16" s="4">
        <v>2</v>
      </c>
      <c r="C16" s="5" t="s">
        <v>162</v>
      </c>
      <c r="D16" s="6" t="s">
        <v>163</v>
      </c>
      <c r="E16" s="4" t="s">
        <v>164</v>
      </c>
      <c r="F16" s="4" t="s">
        <v>165</v>
      </c>
      <c r="G16" s="4" t="s">
        <v>48</v>
      </c>
      <c r="H16" s="4" t="s">
        <v>117</v>
      </c>
      <c r="I16" s="4" t="s">
        <v>61</v>
      </c>
      <c r="J16" s="4" t="s">
        <v>51</v>
      </c>
      <c r="K16" s="7">
        <v>66</v>
      </c>
      <c r="L16" s="8">
        <v>66</v>
      </c>
      <c r="M16" s="9">
        <f>L16-K16</f>
        <v>0</v>
      </c>
      <c r="N16" s="9">
        <f>K16-66</f>
        <v>0</v>
      </c>
      <c r="O16" s="4">
        <v>28</v>
      </c>
      <c r="P16" s="4" t="s">
        <v>166</v>
      </c>
      <c r="Q16" s="4" t="s">
        <v>53</v>
      </c>
      <c r="R16" s="10">
        <v>925000</v>
      </c>
      <c r="S16" s="10">
        <v>3600</v>
      </c>
      <c r="T16" s="4" t="s">
        <v>98</v>
      </c>
      <c r="U16" s="4">
        <v>2028</v>
      </c>
      <c r="V16" s="4" t="s">
        <v>90</v>
      </c>
      <c r="W16" s="4">
        <f>COUNTIFS('Desempenho por Jogo (Logs)'!$G$5:$G$94, A16)</f>
        <v>5</v>
      </c>
      <c r="X16" s="4">
        <f>COUNTIFS('Desempenho por Jogo (Logs)'!$G$5:$G$94, A16, 'Desempenho por Jogo (Logs)'!$J$5:$J$94, "&lt;&gt;RES")</f>
        <v>4</v>
      </c>
      <c r="Y16" s="4">
        <f>COUNTIFS('Desempenho por Jogo (Logs)'!$G$5:$G$94, A16, 'Desempenho por Jogo (Logs)'!$J$5:$J$94, "RES")</f>
        <v>1</v>
      </c>
      <c r="Z16" s="4">
        <f>SUMIFS('Desempenho por Jogo (Logs)'!$K$5:$K$94, 'Desempenho por Jogo (Logs)'!$G$5:$G$94, A16)</f>
        <v>274</v>
      </c>
      <c r="AA16" s="11">
        <f>IF(Z16&gt;0, Z16/540, 0)</f>
        <v>0.507</v>
      </c>
      <c r="AB16" s="4">
        <f>SUMIFS('Desempenho por Jogo (Logs)'!$L$5:$L$94, 'Desempenho por Jogo (Logs)'!$G$5:$G$94, A16)</f>
        <v>0</v>
      </c>
      <c r="AC16" s="4">
        <v>0</v>
      </c>
      <c r="AD16" s="4">
        <f>AB16+AC16</f>
        <v>0</v>
      </c>
      <c r="AE16" s="12">
        <f>IF(Z16&gt;0, ROUND((AD16/Z16)*90, 2), 0)</f>
        <v>0.0</v>
      </c>
      <c r="AF16" s="4">
        <f>SUMIFS('Desempenho por Jogo (Logs)'!$L$5:$L$94, 'Desempenho por Jogo (Logs)'!$G$5:$G$94, A16, 'Desempenho por Jogo (Logs)'!$C$5:$C$94, "*Liga*")</f>
        <v>0</v>
      </c>
      <c r="AG16" s="4">
        <v>0</v>
      </c>
      <c r="AH16" s="4">
        <f>SUMIFS('Desempenho por Jogo (Logs)'!$L$5:$L$94, 'Desempenho por Jogo (Logs)'!$G$5:$G$94, A16, 'Desempenho por Jogo (Logs)'!$C$5:$C$94, "*Trophy*")</f>
        <v>0</v>
      </c>
      <c r="AI16" s="4">
        <v>0</v>
      </c>
      <c r="AJ16" s="4">
        <v>0</v>
      </c>
      <c r="AK16" s="12">
        <f>IFERROR(ROUND(AVERAGEIFS('Desempenho por Jogo (Logs)'!$N$5:$N$94, 'Desempenho por Jogo (Logs)'!$G$5:$G$94, A16, 'Desempenho por Jogo (Logs)'!$N$5:$N$94, "&gt;0"), 2), "S/N")</f>
        <v>7.52</v>
      </c>
      <c r="AL16" s="4" t="s">
        <v>167</v>
      </c>
      <c r="AM16" s="4" t="str">
        <f>IF(W16=0, "Nula (0 jogos)", IF(OR(W16&lt;=2, Z16&lt;150), "Baixa — Amostra Insuficiente", IF(AND(W16&gt;=4, Z16&gt;=240), "Alta", "Moderada")))</f>
        <v>Alta (≥4J e ≥270m)</v>
      </c>
      <c r="AN16" s="5" t="str">
        <f>IF(W16=0, "Sem minutagem no save", IF(OR(W16&lt;=2, Z16&lt;150), "Amostra insuficiente (" &amp; W16 &amp; "J / " &amp; Z16 &amp; "m) — Continuar observando", IF(AK16&gt;=7.5, "Promover minutos / Titularidade em ascensão", IF(AK16&gt;=7.0, "Manter minutagem atual", "Avaliar opções / Rotação"))))</f>
        <v>Sugestão: Testar com Mais Minutos na Rotação</v>
      </c>
      <c r="AO16" s="6" t="s">
        <v>168</v>
      </c>
      <c r="AP16" s="6" t="s">
        <v>169</v>
      </c>
    </row>
    <row r="17" spans="1:42" ht="21" customHeight="1">
      <c r="A17" s="4">
        <v>273022</v>
      </c>
      <c r="B17" s="4">
        <v>3</v>
      </c>
      <c r="C17" s="5" t="s">
        <v>170</v>
      </c>
      <c r="D17" s="6" t="s">
        <v>170</v>
      </c>
      <c r="E17" s="4" t="s">
        <v>164</v>
      </c>
      <c r="F17" s="4" t="s">
        <v>171</v>
      </c>
      <c r="G17" s="4" t="s">
        <v>48</v>
      </c>
      <c r="H17" s="4" t="s">
        <v>107</v>
      </c>
      <c r="I17" s="4" t="s">
        <v>106</v>
      </c>
      <c r="J17" s="4" t="s">
        <v>63</v>
      </c>
      <c r="K17" s="7">
        <v>67</v>
      </c>
      <c r="L17" s="8">
        <v>75</v>
      </c>
      <c r="M17" s="9">
        <f>L17-K17</f>
        <v>8</v>
      </c>
      <c r="N17" s="9">
        <f>K17-66</f>
        <v>1</v>
      </c>
      <c r="O17" s="4">
        <v>22</v>
      </c>
      <c r="P17" s="4" t="s">
        <v>172</v>
      </c>
      <c r="Q17" s="4" t="s">
        <v>53</v>
      </c>
      <c r="R17" s="10">
        <v>2300000</v>
      </c>
      <c r="S17" s="10">
        <v>3200</v>
      </c>
      <c r="T17" s="4" t="s">
        <v>98</v>
      </c>
      <c r="U17" s="4">
        <v>2027</v>
      </c>
      <c r="V17" s="4" t="s">
        <v>55</v>
      </c>
      <c r="W17" s="4">
        <f>COUNTIFS('Desempenho por Jogo (Logs)'!$G$5:$G$94, A17)</f>
        <v>4</v>
      </c>
      <c r="X17" s="4">
        <f>COUNTIFS('Desempenho por Jogo (Logs)'!$G$5:$G$94, A17, 'Desempenho por Jogo (Logs)'!$J$5:$J$94, "&lt;&gt;RES")</f>
        <v>3</v>
      </c>
      <c r="Y17" s="4">
        <f>COUNTIFS('Desempenho por Jogo (Logs)'!$G$5:$G$94, A17, 'Desempenho por Jogo (Logs)'!$J$5:$J$94, "RES")</f>
        <v>1</v>
      </c>
      <c r="Z17" s="4">
        <f>SUMIFS('Desempenho por Jogo (Logs)'!$K$5:$K$94, 'Desempenho por Jogo (Logs)'!$G$5:$G$94, A17)</f>
        <v>255</v>
      </c>
      <c r="AA17" s="11">
        <f>IF(Z17&gt;0, Z17/540, 0)</f>
        <v>0.47200000000000003</v>
      </c>
      <c r="AB17" s="13">
        <f>SUMIFS('Desempenho por Jogo (Logs)'!$L$5:$L$94, 'Desempenho por Jogo (Logs)'!$G$5:$G$94, A17)</f>
        <v>3</v>
      </c>
      <c r="AC17" s="4">
        <v>3</v>
      </c>
      <c r="AD17" s="13">
        <f>AB17+AC17</f>
        <v>6</v>
      </c>
      <c r="AE17" s="12">
        <f>IF(Z17&gt;0, ROUND((AD17/Z17)*90, 2), 0)</f>
        <v>2.12</v>
      </c>
      <c r="AF17" s="4">
        <f>SUMIFS('Desempenho por Jogo (Logs)'!$L$5:$L$94, 'Desempenho por Jogo (Logs)'!$G$5:$G$94, A17, 'Desempenho por Jogo (Logs)'!$C$5:$C$94, "*Liga*")</f>
        <v>2</v>
      </c>
      <c r="AG17" s="4">
        <v>3</v>
      </c>
      <c r="AH17" s="4">
        <f>SUMIFS('Desempenho por Jogo (Logs)'!$L$5:$L$94, 'Desempenho por Jogo (Logs)'!$G$5:$G$94, A17, 'Desempenho por Jogo (Logs)'!$C$5:$C$94, "*Trophy*")</f>
        <v>1</v>
      </c>
      <c r="AI17" s="4">
        <v>0</v>
      </c>
      <c r="AJ17" s="4">
        <v>0</v>
      </c>
      <c r="AK17" s="12">
        <f>IFERROR(ROUND(AVERAGEIFS('Desempenho por Jogo (Logs)'!$N$5:$N$94, 'Desempenho por Jogo (Logs)'!$G$5:$G$94, A17, 'Desempenho por Jogo (Logs)'!$N$5:$N$94, "&gt;0"), 2), "S/N")</f>
        <v>8.03</v>
      </c>
      <c r="AL17" s="4" t="s">
        <v>173</v>
      </c>
      <c r="AM17" s="4" t="str">
        <f>IF(W17=0, "Nula (0 jogos)", IF(OR(W17&lt;=2, Z17&lt;150), "Baixa — Amostra Insuficiente", IF(AND(W17&gt;=4, Z17&gt;=240), "Alta", "Moderada")))</f>
        <v>Moderada (≥3J e ≥150m)</v>
      </c>
      <c r="AN17" s="5" t="str">
        <f>IF(W17=0, "Sem minutagem no save", IF(OR(W17&lt;=2, Z17&lt;150), "Amostra insuficiente (" &amp; W17 &amp; "J / " &amp; Z17 &amp; "m) — Continuar observando", IF(AK17&gt;=7.5, "Promover minutos / Titularidade em ascensão", IF(AK17&gt;=7.0, "Manter minutagem atual", "Avaliar opções / Rotação"))))</f>
        <v>Sugestão: Testar com Mais Minutos na Rotação</v>
      </c>
      <c r="AO17" s="6" t="s">
        <v>174</v>
      </c>
      <c r="AP17" s="6" t="s">
        <v>175</v>
      </c>
    </row>
    <row r="18" spans="1:42" ht="21" customHeight="1">
      <c r="A18" s="4">
        <v>79703</v>
      </c>
      <c r="B18" s="4">
        <v>4</v>
      </c>
      <c r="C18" s="5" t="s">
        <v>176</v>
      </c>
      <c r="D18" s="6" t="s">
        <v>177</v>
      </c>
      <c r="E18" s="4" t="s">
        <v>164</v>
      </c>
      <c r="F18" s="4" t="s">
        <v>178</v>
      </c>
      <c r="G18" s="4" t="s">
        <v>48</v>
      </c>
      <c r="H18" s="4" t="s">
        <v>49</v>
      </c>
      <c r="I18" s="4" t="s">
        <v>50</v>
      </c>
      <c r="J18" s="4" t="s">
        <v>51</v>
      </c>
      <c r="K18" s="7">
        <v>67</v>
      </c>
      <c r="L18" s="8">
        <v>74</v>
      </c>
      <c r="M18" s="9">
        <f>L18-K18</f>
        <v>7</v>
      </c>
      <c r="N18" s="9">
        <f>K18-66</f>
        <v>1</v>
      </c>
      <c r="O18" s="4">
        <v>23</v>
      </c>
      <c r="P18" s="4" t="s">
        <v>179</v>
      </c>
      <c r="Q18" s="4" t="s">
        <v>53</v>
      </c>
      <c r="R18" s="10">
        <v>2100000</v>
      </c>
      <c r="S18" s="10">
        <v>3000</v>
      </c>
      <c r="T18" s="4" t="s">
        <v>98</v>
      </c>
      <c r="U18" s="4">
        <v>2028</v>
      </c>
      <c r="V18" s="4" t="s">
        <v>90</v>
      </c>
      <c r="W18" s="4">
        <f>COUNTIFS('Desempenho por Jogo (Logs)'!$G$5:$G$94, A18)</f>
        <v>3</v>
      </c>
      <c r="X18" s="4">
        <f>COUNTIFS('Desempenho por Jogo (Logs)'!$G$5:$G$94, A18, 'Desempenho por Jogo (Logs)'!$J$5:$J$94, "&lt;&gt;RES")</f>
        <v>2</v>
      </c>
      <c r="Y18" s="4">
        <f>COUNTIFS('Desempenho por Jogo (Logs)'!$G$5:$G$94, A18, 'Desempenho por Jogo (Logs)'!$J$5:$J$94, "RES")</f>
        <v>1</v>
      </c>
      <c r="Z18" s="4">
        <f>SUMIFS('Desempenho por Jogo (Logs)'!$K$5:$K$94, 'Desempenho por Jogo (Logs)'!$G$5:$G$94, A18)</f>
        <v>106</v>
      </c>
      <c r="AA18" s="11">
        <f>IF(Z18&gt;0, Z18/540, 0)</f>
        <v>0.196</v>
      </c>
      <c r="AB18" s="4">
        <f>SUMIFS('Desempenho por Jogo (Logs)'!$L$5:$L$94, 'Desempenho por Jogo (Logs)'!$G$5:$G$94, A18)</f>
        <v>0</v>
      </c>
      <c r="AC18" s="4">
        <v>0</v>
      </c>
      <c r="AD18" s="4">
        <f>AB18+AC18</f>
        <v>0</v>
      </c>
      <c r="AE18" s="12">
        <f>IF(Z18&gt;0, ROUND((AD18/Z18)*90, 2), 0)</f>
        <v>0.0</v>
      </c>
      <c r="AF18" s="4">
        <f>SUMIFS('Desempenho por Jogo (Logs)'!$L$5:$L$94, 'Desempenho por Jogo (Logs)'!$G$5:$G$94, A18, 'Desempenho por Jogo (Logs)'!$C$5:$C$94, "*Liga*")</f>
        <v>0</v>
      </c>
      <c r="AG18" s="4">
        <v>0</v>
      </c>
      <c r="AH18" s="4">
        <f>SUMIFS('Desempenho por Jogo (Logs)'!$L$5:$L$94, 'Desempenho por Jogo (Logs)'!$G$5:$G$94, A18, 'Desempenho por Jogo (Logs)'!$C$5:$C$94, "*Trophy*")</f>
        <v>0</v>
      </c>
      <c r="AI18" s="4">
        <v>0</v>
      </c>
      <c r="AJ18" s="4">
        <v>0</v>
      </c>
      <c r="AK18" s="12">
        <f>IFERROR(ROUND(AVERAGEIFS('Desempenho por Jogo (Logs)'!$N$5:$N$94, 'Desempenho por Jogo (Logs)'!$G$5:$G$94, A18, 'Desempenho por Jogo (Logs)'!$N$5:$N$94, "&gt;0"), 2), "S/N")</f>
        <v>5.8</v>
      </c>
      <c r="AL18" s="4" t="s">
        <v>180</v>
      </c>
      <c r="AM18" s="4" t="str">
        <f>IF(W18=0, "Nula (0 jogos)", IF(OR(W18&lt;=2, Z18&lt;150), "Baixa — Amostra Insuficiente", IF(AND(W18&gt;=4, Z18&gt;=240), "Alta", "Moderada")))</f>
        <v>Baixa — Amostra Insuficiente (3J / 106m)</v>
      </c>
      <c r="AN18" s="5" t="str">
        <f>IF(W18=0, "Sem minutagem no save", IF(OR(W18&lt;=2, Z18&lt;150), "Amostra insuficiente (" &amp; W18 &amp; "J / " &amp; Z18 &amp; "m) — Continuar observando", IF(AK18&gt;=7.5, "Promover minutos / Titularidade em ascensão", IF(AK18&gt;=7.0, "Manter minutagem atual", "Avaliar opções / Rotação"))))</f>
        <v>Amostra insuficiente (3J / 106m) — Continuar observando</v>
      </c>
      <c r="AO18" s="6" t="s">
        <v>181</v>
      </c>
      <c r="AP18" s="6" t="s">
        <v>182</v>
      </c>
    </row>
    <row r="19" spans="1:42" ht="21" customHeight="1">
      <c r="A19" s="4">
        <v>265405</v>
      </c>
      <c r="B19" s="4">
        <v>13</v>
      </c>
      <c r="C19" s="5" t="s">
        <v>183</v>
      </c>
      <c r="D19" s="6" t="s">
        <v>184</v>
      </c>
      <c r="E19" s="4" t="s">
        <v>164</v>
      </c>
      <c r="F19" s="4" t="s">
        <v>116</v>
      </c>
      <c r="G19" s="4" t="s">
        <v>48</v>
      </c>
      <c r="H19" s="4" t="s">
        <v>145</v>
      </c>
      <c r="I19" s="4" t="s">
        <v>50</v>
      </c>
      <c r="J19" s="4" t="s">
        <v>146</v>
      </c>
      <c r="K19" s="7">
        <v>68</v>
      </c>
      <c r="L19" s="8">
        <v>73</v>
      </c>
      <c r="M19" s="9">
        <f>L19-K19</f>
        <v>5</v>
      </c>
      <c r="N19" s="9">
        <f>K19-67</f>
        <v>1</v>
      </c>
      <c r="O19" s="4">
        <v>24</v>
      </c>
      <c r="P19" s="4" t="s">
        <v>185</v>
      </c>
      <c r="Q19" s="4" t="s">
        <v>186</v>
      </c>
      <c r="R19" s="10">
        <v>1500000</v>
      </c>
      <c r="S19" s="10">
        <v>2000</v>
      </c>
      <c r="T19" s="4" t="s">
        <v>98</v>
      </c>
      <c r="U19" s="4">
        <v>2029</v>
      </c>
      <c r="V19" s="4" t="s">
        <v>77</v>
      </c>
      <c r="W19" s="4">
        <f>COUNTIFS('Desempenho por Jogo (Logs)'!$G$5:$G$94, A19)</f>
        <v>2</v>
      </c>
      <c r="X19" s="4">
        <f>COUNTIFS('Desempenho por Jogo (Logs)'!$G$5:$G$94, A19, 'Desempenho por Jogo (Logs)'!$J$5:$J$94, "&lt;&gt;RES")</f>
        <v>2</v>
      </c>
      <c r="Y19" s="4">
        <f>COUNTIFS('Desempenho por Jogo (Logs)'!$G$5:$G$94, A19, 'Desempenho por Jogo (Logs)'!$J$5:$J$94, "RES")</f>
        <v>0</v>
      </c>
      <c r="Z19" s="4">
        <f>SUMIFS('Desempenho por Jogo (Logs)'!$K$5:$K$94, 'Desempenho por Jogo (Logs)'!$G$5:$G$94, A19)</f>
        <v>180</v>
      </c>
      <c r="AA19" s="11">
        <f>IF(Z19&gt;0, Z19/540, 0)</f>
        <v>0.33299999999999996</v>
      </c>
      <c r="AB19" s="4">
        <f>SUMIFS('Desempenho por Jogo (Logs)'!$L$5:$L$94, 'Desempenho por Jogo (Logs)'!$G$5:$G$94, A19)</f>
        <v>0</v>
      </c>
      <c r="AC19" s="4">
        <v>0</v>
      </c>
      <c r="AD19" s="4">
        <f>AB19+AC19</f>
        <v>0</v>
      </c>
      <c r="AE19" s="12">
        <f>IF(Z19&gt;0, ROUND((AD19/Z19)*90, 2), 0)</f>
        <v>0.0</v>
      </c>
      <c r="AF19" s="4">
        <f>SUMIFS('Desempenho por Jogo (Logs)'!$L$5:$L$94, 'Desempenho por Jogo (Logs)'!$G$5:$G$94, A19, 'Desempenho por Jogo (Logs)'!$C$5:$C$94, "*Liga*")</f>
        <v>0</v>
      </c>
      <c r="AG19" s="4">
        <v>0</v>
      </c>
      <c r="AH19" s="4">
        <f>SUMIFS('Desempenho por Jogo (Logs)'!$L$5:$L$94, 'Desempenho por Jogo (Logs)'!$G$5:$G$94, A19, 'Desempenho por Jogo (Logs)'!$C$5:$C$94, "*Trophy*")</f>
        <v>0</v>
      </c>
      <c r="AI19" s="4">
        <v>0</v>
      </c>
      <c r="AJ19" s="4">
        <v>0</v>
      </c>
      <c r="AK19" s="12">
        <f>IFERROR(ROUND(AVERAGEIFS('Desempenho por Jogo (Logs)'!$N$5:$N$94, 'Desempenho por Jogo (Logs)'!$G$5:$G$94, A19, 'Desempenho por Jogo (Logs)'!$N$5:$N$94, "&gt;0"), 2), "S/N")</f>
        <v>6.8</v>
      </c>
      <c r="AL19" s="4" t="s">
        <v>187</v>
      </c>
      <c r="AM19" s="4" t="str">
        <f>IF(W19=0, "Nula (0 jogos)", IF(OR(W19&lt;=2, Z19&lt;150), "Baixa — Amostra Insuficiente", IF(AND(W19&gt;=4, Z19&gt;=240), "Alta", "Moderada")))</f>
        <v>Baixa — Amostra Insuficiente (2J / 180m)</v>
      </c>
      <c r="AN19" s="5" t="str">
        <f>IF(W19=0, "Sem minutagem no save", IF(OR(W19&lt;=2, Z19&lt;150), "Amostra insuficiente (" &amp; W19 &amp; "J / " &amp; Z19 &amp; "m) — Continuar observando", IF(AK19&gt;=7.5, "Promover minutos / Titularidade em ascensão", IF(AK19&gt;=7.0, "Manter minutagem atual", "Avaliar opções / Rotação"))))</f>
        <v>Amostra insuficiente (2J / 180m) — Continuar observando</v>
      </c>
      <c r="AO19" s="6" t="s">
        <v>188</v>
      </c>
      <c r="AP19" s="6" t="s">
        <v>189</v>
      </c>
    </row>
    <row r="20" spans="1:42" ht="21" customHeight="1">
      <c r="A20" s="4">
        <v>230134</v>
      </c>
      <c r="B20" s="4">
        <v>14</v>
      </c>
      <c r="C20" s="5" t="s">
        <v>190</v>
      </c>
      <c r="D20" s="6" t="s">
        <v>191</v>
      </c>
      <c r="E20" s="4" t="s">
        <v>164</v>
      </c>
      <c r="F20" s="4" t="s">
        <v>192</v>
      </c>
      <c r="G20" s="4" t="s">
        <v>48</v>
      </c>
      <c r="H20" s="4" t="s">
        <v>61</v>
      </c>
      <c r="I20" s="4" t="s">
        <v>193</v>
      </c>
      <c r="J20" s="4" t="s">
        <v>63</v>
      </c>
      <c r="K20" s="7">
        <v>66</v>
      </c>
      <c r="L20" s="8">
        <v>66</v>
      </c>
      <c r="M20" s="9">
        <f>L20-K20</f>
        <v>0</v>
      </c>
      <c r="N20" s="9">
        <f>K20-66</f>
        <v>0</v>
      </c>
      <c r="O20" s="4">
        <v>29</v>
      </c>
      <c r="P20" s="4" t="s">
        <v>194</v>
      </c>
      <c r="Q20" s="4" t="s">
        <v>53</v>
      </c>
      <c r="R20" s="10">
        <v>975000</v>
      </c>
      <c r="S20" s="10">
        <v>3800</v>
      </c>
      <c r="T20" s="4" t="s">
        <v>98</v>
      </c>
      <c r="U20" s="4">
        <v>2028</v>
      </c>
      <c r="V20" s="4" t="s">
        <v>90</v>
      </c>
      <c r="W20" s="4">
        <f>COUNTIFS('Desempenho por Jogo (Logs)'!$G$5:$G$94, A20)</f>
        <v>3</v>
      </c>
      <c r="X20" s="4">
        <f>COUNTIFS('Desempenho por Jogo (Logs)'!$G$5:$G$94, A20, 'Desempenho por Jogo (Logs)'!$J$5:$J$94, "&lt;&gt;RES")</f>
        <v>3</v>
      </c>
      <c r="Y20" s="4">
        <f>COUNTIFS('Desempenho por Jogo (Logs)'!$G$5:$G$94, A20, 'Desempenho por Jogo (Logs)'!$J$5:$J$94, "RES")</f>
        <v>0</v>
      </c>
      <c r="Z20" s="4">
        <f>SUMIFS('Desempenho por Jogo (Logs)'!$K$5:$K$94, 'Desempenho por Jogo (Logs)'!$G$5:$G$94, A20)</f>
        <v>226</v>
      </c>
      <c r="AA20" s="11">
        <f>IF(Z20&gt;0, Z20/540, 0)</f>
        <v>0.419</v>
      </c>
      <c r="AB20" s="4">
        <f>SUMIFS('Desempenho por Jogo (Logs)'!$L$5:$L$94, 'Desempenho por Jogo (Logs)'!$G$5:$G$94, A20)</f>
        <v>0</v>
      </c>
      <c r="AC20" s="4">
        <v>0</v>
      </c>
      <c r="AD20" s="4">
        <f>AB20+AC20</f>
        <v>0</v>
      </c>
      <c r="AE20" s="12">
        <f>IF(Z20&gt;0, ROUND((AD20/Z20)*90, 2), 0)</f>
        <v>0.0</v>
      </c>
      <c r="AF20" s="4">
        <f>SUMIFS('Desempenho por Jogo (Logs)'!$L$5:$L$94, 'Desempenho por Jogo (Logs)'!$G$5:$G$94, A20, 'Desempenho por Jogo (Logs)'!$C$5:$C$94, "*Liga*")</f>
        <v>0</v>
      </c>
      <c r="AG20" s="4">
        <v>0</v>
      </c>
      <c r="AH20" s="4">
        <f>SUMIFS('Desempenho por Jogo (Logs)'!$L$5:$L$94, 'Desempenho por Jogo (Logs)'!$G$5:$G$94, A20, 'Desempenho por Jogo (Logs)'!$C$5:$C$94, "*Trophy*")</f>
        <v>0</v>
      </c>
      <c r="AI20" s="4">
        <v>0</v>
      </c>
      <c r="AJ20" s="4">
        <v>0</v>
      </c>
      <c r="AK20" s="12">
        <f>IFERROR(ROUND(AVERAGEIFS('Desempenho por Jogo (Logs)'!$N$5:$N$94, 'Desempenho por Jogo (Logs)'!$G$5:$G$94, A20, 'Desempenho por Jogo (Logs)'!$N$5:$N$94, "&gt;0"), 2), "S/N")</f>
        <v>7.8</v>
      </c>
      <c r="AL20" s="4" t="s">
        <v>195</v>
      </c>
      <c r="AM20" s="4" t="str">
        <f>IF(W20=0, "Nula (0 jogos)", IF(OR(W20&lt;=2, Z20&lt;150), "Baixa — Amostra Insuficiente", IF(AND(W20&gt;=4, Z20&gt;=240), "Alta", "Moderada")))</f>
        <v>Moderada (≥3J e ≥150m)</v>
      </c>
      <c r="AN20" s="5" t="str">
        <f>IF(W20=0, "Sem minutagem no save", IF(OR(W20&lt;=2, Z20&lt;150), "Amostra insuficiente (" &amp; W20 &amp; "J / " &amp; Z20 &amp; "m) — Continuar observando", IF(AK20&gt;=7.5, "Promover minutos / Titularidade em ascensão", IF(AK20&gt;=7.0, "Manter minutagem atual", "Avaliar opções / Rotação"))))</f>
        <v>Sugestão: Testar com Mais Minutos na Rotação</v>
      </c>
      <c r="AO20" s="6" t="s">
        <v>196</v>
      </c>
      <c r="AP20" s="6" t="s">
        <v>197</v>
      </c>
    </row>
    <row r="21" spans="1:42" ht="21" customHeight="1">
      <c r="A21" s="4">
        <v>278758</v>
      </c>
      <c r="B21" s="4">
        <v>16</v>
      </c>
      <c r="C21" s="5" t="s">
        <v>198</v>
      </c>
      <c r="D21" s="6" t="s">
        <v>199</v>
      </c>
      <c r="E21" s="4" t="s">
        <v>164</v>
      </c>
      <c r="F21" s="4" t="s">
        <v>200</v>
      </c>
      <c r="G21" s="4" t="s">
        <v>48</v>
      </c>
      <c r="H21" s="4" t="s">
        <v>129</v>
      </c>
      <c r="I21" s="4" t="s">
        <v>156</v>
      </c>
      <c r="J21" s="4" t="s">
        <v>63</v>
      </c>
      <c r="K21" s="7">
        <v>69</v>
      </c>
      <c r="L21" s="8">
        <v>80</v>
      </c>
      <c r="M21" s="9">
        <f>L21-K21</f>
        <v>11</v>
      </c>
      <c r="N21" s="9">
        <f>K21-68</f>
        <v>1</v>
      </c>
      <c r="O21" s="4">
        <v>21</v>
      </c>
      <c r="P21" s="4" t="s">
        <v>201</v>
      </c>
      <c r="Q21" s="4" t="s">
        <v>53</v>
      </c>
      <c r="R21" s="10">
        <v>3500000</v>
      </c>
      <c r="S21" s="10">
        <v>3600</v>
      </c>
      <c r="T21" s="4" t="s">
        <v>109</v>
      </c>
      <c r="U21" s="4">
        <v>2027</v>
      </c>
      <c r="V21" s="4" t="s">
        <v>110</v>
      </c>
      <c r="W21" s="4">
        <f>COUNTIFS('Desempenho por Jogo (Logs)'!$G$5:$G$94, A21)</f>
        <v>5</v>
      </c>
      <c r="X21" s="4">
        <f>COUNTIFS('Desempenho por Jogo (Logs)'!$G$5:$G$94, A21, 'Desempenho por Jogo (Logs)'!$J$5:$J$94, "&lt;&gt;RES")</f>
        <v>3</v>
      </c>
      <c r="Y21" s="4">
        <f>COUNTIFS('Desempenho por Jogo (Logs)'!$G$5:$G$94, A21, 'Desempenho por Jogo (Logs)'!$J$5:$J$94, "RES")</f>
        <v>2</v>
      </c>
      <c r="Z21" s="4">
        <f>SUMIFS('Desempenho por Jogo (Logs)'!$K$5:$K$94, 'Desempenho por Jogo (Logs)'!$G$5:$G$94, A21)</f>
        <v>259</v>
      </c>
      <c r="AA21" s="11">
        <f>IF(Z21&gt;0, Z21/540, 0)</f>
        <v>0.48</v>
      </c>
      <c r="AB21" s="4">
        <f>SUMIFS('Desempenho por Jogo (Logs)'!$L$5:$L$94, 'Desempenho por Jogo (Logs)'!$G$5:$G$94, A21)</f>
        <v>0</v>
      </c>
      <c r="AC21" s="4">
        <v>2</v>
      </c>
      <c r="AD21" s="13">
        <f>AB21+AC21</f>
        <v>2</v>
      </c>
      <c r="AE21" s="12">
        <f>IF(Z21&gt;0, ROUND((AD21/Z21)*90, 2), 0)</f>
        <v>0.69</v>
      </c>
      <c r="AF21" s="4">
        <f>SUMIFS('Desempenho por Jogo (Logs)'!$L$5:$L$94, 'Desempenho por Jogo (Logs)'!$G$5:$G$94, A21, 'Desempenho por Jogo (Logs)'!$C$5:$C$94, "*Liga*")</f>
        <v>0</v>
      </c>
      <c r="AG21" s="4">
        <v>2</v>
      </c>
      <c r="AH21" s="4">
        <f>SUMIFS('Desempenho por Jogo (Logs)'!$L$5:$L$94, 'Desempenho por Jogo (Logs)'!$G$5:$G$94, A21, 'Desempenho por Jogo (Logs)'!$C$5:$C$94, "*Trophy*")</f>
        <v>0</v>
      </c>
      <c r="AI21" s="4">
        <v>0</v>
      </c>
      <c r="AJ21" s="4">
        <v>1</v>
      </c>
      <c r="AK21" s="12">
        <f>IFERROR(ROUND(AVERAGEIFS('Desempenho por Jogo (Logs)'!$N$5:$N$94, 'Desempenho por Jogo (Logs)'!$G$5:$G$94, A21, 'Desempenho por Jogo (Logs)'!$N$5:$N$94, "&gt;0"), 2), "S/N")</f>
        <v>7.2</v>
      </c>
      <c r="AL21" s="4" t="s">
        <v>202</v>
      </c>
      <c r="AM21" s="4" t="str">
        <f>IF(W21=0, "Nula (0 jogos)", IF(OR(W21&lt;=2, Z21&lt;150), "Baixa — Amostra Insuficiente", IF(AND(W21&gt;=4, Z21&gt;=240), "Alta", "Moderada")))</f>
        <v>Moderada (≥3J e ≥150m)</v>
      </c>
      <c r="AN21" s="5" t="str">
        <f>IF(W21=0, "Sem minutagem no save", IF(OR(W21&lt;=2, Z21&lt;150), "Amostra insuficiente (" &amp; W21 &amp; "J / " &amp; Z21 &amp; "m) — Continuar observando", IF(AK21&gt;=7.5, "Promover minutos / Titularidade em ascensão", IF(AK21&gt;=7.0, "Manter minutagem atual", "Avaliar opções / Rotação"))))</f>
        <v>Sugestão: Testar com Mais Minutos na Rotação</v>
      </c>
      <c r="AO21" s="6" t="s">
        <v>203</v>
      </c>
      <c r="AP21" s="6" t="s">
        <v>204</v>
      </c>
    </row>
    <row r="22" spans="1:42" ht="21" customHeight="1">
      <c r="A22" s="4">
        <v>245704</v>
      </c>
      <c r="B22" s="4">
        <v>20</v>
      </c>
      <c r="C22" s="5" t="s">
        <v>205</v>
      </c>
      <c r="D22" s="6" t="s">
        <v>206</v>
      </c>
      <c r="E22" s="4" t="s">
        <v>164</v>
      </c>
      <c r="F22" s="4" t="s">
        <v>207</v>
      </c>
      <c r="G22" s="4" t="s">
        <v>48</v>
      </c>
      <c r="H22" s="4" t="s">
        <v>128</v>
      </c>
      <c r="I22" s="4" t="s">
        <v>208</v>
      </c>
      <c r="J22" s="4" t="s">
        <v>51</v>
      </c>
      <c r="K22" s="7">
        <v>67</v>
      </c>
      <c r="L22" s="8">
        <v>67</v>
      </c>
      <c r="M22" s="9">
        <f>L22-K22</f>
        <v>0</v>
      </c>
      <c r="N22" s="9">
        <f>K22-66</f>
        <v>1</v>
      </c>
      <c r="O22" s="4">
        <v>26</v>
      </c>
      <c r="P22" s="4" t="s">
        <v>209</v>
      </c>
      <c r="Q22" s="4" t="s">
        <v>53</v>
      </c>
      <c r="R22" s="10">
        <v>1100000</v>
      </c>
      <c r="S22" s="10">
        <v>3500</v>
      </c>
      <c r="T22" s="4" t="s">
        <v>98</v>
      </c>
      <c r="U22" s="4">
        <v>2028</v>
      </c>
      <c r="V22" s="4" t="s">
        <v>90</v>
      </c>
      <c r="W22" s="4">
        <f>COUNTIFS('Desempenho por Jogo (Logs)'!$G$5:$G$94, A22)</f>
        <v>5</v>
      </c>
      <c r="X22" s="4">
        <f>COUNTIFS('Desempenho por Jogo (Logs)'!$G$5:$G$94, A22, 'Desempenho por Jogo (Logs)'!$J$5:$J$94, "&lt;&gt;RES")</f>
        <v>5</v>
      </c>
      <c r="Y22" s="4">
        <f>COUNTIFS('Desempenho por Jogo (Logs)'!$G$5:$G$94, A22, 'Desempenho por Jogo (Logs)'!$J$5:$J$94, "RES")</f>
        <v>0</v>
      </c>
      <c r="Z22" s="4">
        <f>SUMIFS('Desempenho por Jogo (Logs)'!$K$5:$K$94, 'Desempenho por Jogo (Logs)'!$G$5:$G$94, A22)</f>
        <v>317</v>
      </c>
      <c r="AA22" s="11">
        <f>IF(Z22&gt;0, Z22/540, 0)</f>
        <v>0.5870000000000001</v>
      </c>
      <c r="AB22" s="4">
        <f>SUMIFS('Desempenho por Jogo (Logs)'!$L$5:$L$94, 'Desempenho por Jogo (Logs)'!$G$5:$G$94, A22)</f>
        <v>0</v>
      </c>
      <c r="AC22" s="4">
        <v>0</v>
      </c>
      <c r="AD22" s="4">
        <f>AB22+AC22</f>
        <v>0</v>
      </c>
      <c r="AE22" s="12">
        <f>IF(Z22&gt;0, ROUND((AD22/Z22)*90, 2), 0)</f>
        <v>0.0</v>
      </c>
      <c r="AF22" s="4">
        <f>SUMIFS('Desempenho por Jogo (Logs)'!$L$5:$L$94, 'Desempenho por Jogo (Logs)'!$G$5:$G$94, A22, 'Desempenho por Jogo (Logs)'!$C$5:$C$94, "*Liga*")</f>
        <v>0</v>
      </c>
      <c r="AG22" s="4">
        <v>0</v>
      </c>
      <c r="AH22" s="4">
        <f>SUMIFS('Desempenho por Jogo (Logs)'!$L$5:$L$94, 'Desempenho por Jogo (Logs)'!$G$5:$G$94, A22, 'Desempenho por Jogo (Logs)'!$C$5:$C$94, "*Trophy*")</f>
        <v>0</v>
      </c>
      <c r="AI22" s="4">
        <v>0</v>
      </c>
      <c r="AJ22" s="4">
        <v>0</v>
      </c>
      <c r="AK22" s="12">
        <f>IFERROR(ROUND(AVERAGEIFS('Desempenho por Jogo (Logs)'!$N$5:$N$94, 'Desempenho por Jogo (Logs)'!$G$5:$G$94, A22, 'Desempenho por Jogo (Logs)'!$N$5:$N$94, "&gt;0"), 2), "S/N")</f>
        <v>6.56</v>
      </c>
      <c r="AL22" s="4" t="s">
        <v>210</v>
      </c>
      <c r="AM22" s="4" t="str">
        <f>IF(W22=0, "Nula (0 jogos)", IF(OR(W22&lt;=2, Z22&lt;150), "Baixa — Amostra Insuficiente", IF(AND(W22&gt;=4, Z22&gt;=240), "Alta", "Moderada")))</f>
        <v>Alta (≥4J e ≥270m)</v>
      </c>
      <c r="AN22" s="5" t="str">
        <f>IF(W22=0, "Sem minutagem no save", IF(OR(W22&lt;=2, Z22&lt;150), "Amostra insuficiente (" &amp; W22 &amp; "J / " &amp; Z22 &amp; "m) — Continuar observando", IF(AK22&gt;=7.5, "Promover minutos / Titularidade em ascensão", IF(AK22&gt;=7.0, "Manter minutagem atual", "Avaliar opções / Rotação"))))</f>
        <v>Manter na Rotação do Elenco</v>
      </c>
      <c r="AO22" s="6" t="s">
        <v>211</v>
      </c>
      <c r="AP22" s="6" t="s">
        <v>212</v>
      </c>
    </row>
    <row r="23" spans="1:42" ht="21" customHeight="1">
      <c r="A23" s="4">
        <v>274828</v>
      </c>
      <c r="B23" s="4">
        <v>7</v>
      </c>
      <c r="C23" s="5" t="s">
        <v>213</v>
      </c>
      <c r="D23" s="6" t="s">
        <v>214</v>
      </c>
      <c r="E23" s="4" t="s">
        <v>215</v>
      </c>
      <c r="F23" s="4" t="s">
        <v>216</v>
      </c>
      <c r="G23" s="4" t="s">
        <v>48</v>
      </c>
      <c r="H23" s="4" t="s">
        <v>106</v>
      </c>
      <c r="I23" s="4" t="s">
        <v>107</v>
      </c>
      <c r="J23" s="4" t="s">
        <v>86</v>
      </c>
      <c r="K23" s="7">
        <v>66</v>
      </c>
      <c r="L23" s="8">
        <v>72</v>
      </c>
      <c r="M23" s="9">
        <f>L23-K23</f>
        <v>6</v>
      </c>
      <c r="N23" s="9">
        <f>K23-66</f>
        <v>0</v>
      </c>
      <c r="O23" s="4">
        <v>21</v>
      </c>
      <c r="P23" s="4" t="s">
        <v>217</v>
      </c>
      <c r="Q23" s="4" t="s">
        <v>53</v>
      </c>
      <c r="R23" s="10">
        <v>1600000</v>
      </c>
      <c r="S23" s="10">
        <v>2900</v>
      </c>
      <c r="T23" s="4" t="s">
        <v>218</v>
      </c>
      <c r="U23" s="4">
        <v>2028</v>
      </c>
      <c r="V23" s="4" t="s">
        <v>90</v>
      </c>
      <c r="W23" s="4">
        <f>COUNTIFS('Desempenho por Jogo (Logs)'!$G$5:$G$94, A23)</f>
        <v>2</v>
      </c>
      <c r="X23" s="4">
        <f>COUNTIFS('Desempenho por Jogo (Logs)'!$G$5:$G$94, A23, 'Desempenho por Jogo (Logs)'!$J$5:$J$94, "&lt;&gt;RES")</f>
        <v>1</v>
      </c>
      <c r="Y23" s="4">
        <f>COUNTIFS('Desempenho por Jogo (Logs)'!$G$5:$G$94, A23, 'Desempenho por Jogo (Logs)'!$J$5:$J$94, "RES")</f>
        <v>1</v>
      </c>
      <c r="Z23" s="4">
        <f>SUMIFS('Desempenho por Jogo (Logs)'!$K$5:$K$94, 'Desempenho por Jogo (Logs)'!$G$5:$G$94, A23)</f>
        <v>48</v>
      </c>
      <c r="AA23" s="11">
        <f>IF(Z23&gt;0, Z23/540, 0)</f>
        <v>0.08900000000000001</v>
      </c>
      <c r="AB23" s="4">
        <f>SUMIFS('Desempenho por Jogo (Logs)'!$L$5:$L$94, 'Desempenho por Jogo (Logs)'!$G$5:$G$94, A23)</f>
        <v>0</v>
      </c>
      <c r="AC23" s="4">
        <v>0</v>
      </c>
      <c r="AD23" s="4">
        <f>AB23+AC23</f>
        <v>0</v>
      </c>
      <c r="AE23" s="12">
        <f>IF(Z23&gt;0, ROUND((AD23/Z23)*90, 2), 0)</f>
        <v>0.0</v>
      </c>
      <c r="AF23" s="4">
        <f>SUMIFS('Desempenho por Jogo (Logs)'!$L$5:$L$94, 'Desempenho por Jogo (Logs)'!$G$5:$G$94, A23, 'Desempenho por Jogo (Logs)'!$C$5:$C$94, "*Liga*")</f>
        <v>0</v>
      </c>
      <c r="AG23" s="4">
        <v>0</v>
      </c>
      <c r="AH23" s="4">
        <f>SUMIFS('Desempenho por Jogo (Logs)'!$L$5:$L$94, 'Desempenho por Jogo (Logs)'!$G$5:$G$94, A23, 'Desempenho por Jogo (Logs)'!$C$5:$C$94, "*Trophy*")</f>
        <v>0</v>
      </c>
      <c r="AI23" s="4">
        <v>0</v>
      </c>
      <c r="AJ23" s="4">
        <v>0</v>
      </c>
      <c r="AK23" s="12">
        <f>IFERROR(ROUND(AVERAGEIFS('Desempenho por Jogo (Logs)'!$N$5:$N$94, 'Desempenho por Jogo (Logs)'!$G$5:$G$94, A23, 'Desempenho por Jogo (Logs)'!$N$5:$N$94, "&gt;0"), 2), "S/N")</f>
        <v>6.15</v>
      </c>
      <c r="AL23" s="4" t="s">
        <v>219</v>
      </c>
      <c r="AM23" s="4" t="str">
        <f>IF(W23=0, "Nula (0 jogos)", IF(OR(W23&lt;=2, Z23&lt;150), "Baixa — Amostra Insuficiente", IF(AND(W23&gt;=4, Z23&gt;=240), "Alta", "Moderada")))</f>
        <v>Baixa — Amostra Insuficiente (2J / 48m)</v>
      </c>
      <c r="AN23" s="5" t="str">
        <f>IF(W23=0, "Sem minutagem no save", IF(OR(W23&lt;=2, Z23&lt;150), "Amostra insuficiente (" &amp; W23 &amp; "J / " &amp; Z23 &amp; "m) — Continuar observando", IF(AK23&gt;=7.5, "Promover minutos / Titularidade em ascensão", IF(AK23&gt;=7.0, "Manter minutagem atual", "Avaliar opções / Rotação"))))</f>
        <v>Amostra insuficiente (2J / 48m) — Continuar observando</v>
      </c>
      <c r="AO23" s="6" t="s">
        <v>220</v>
      </c>
      <c r="AP23" s="6" t="s">
        <v>221</v>
      </c>
    </row>
    <row r="24" spans="1:42" ht="21" customHeight="1">
      <c r="A24" s="4">
        <v>277311</v>
      </c>
      <c r="B24" s="4">
        <v>10</v>
      </c>
      <c r="C24" s="5" t="s">
        <v>222</v>
      </c>
      <c r="D24" s="6" t="s">
        <v>222</v>
      </c>
      <c r="E24" s="4" t="s">
        <v>215</v>
      </c>
      <c r="F24" s="4" t="s">
        <v>223</v>
      </c>
      <c r="G24" s="4" t="s">
        <v>48</v>
      </c>
      <c r="H24" s="4" t="s">
        <v>61</v>
      </c>
      <c r="I24" s="4" t="s">
        <v>74</v>
      </c>
      <c r="J24" s="4" t="s">
        <v>63</v>
      </c>
      <c r="K24" s="7">
        <v>63</v>
      </c>
      <c r="L24" s="8">
        <v>68</v>
      </c>
      <c r="M24" s="9">
        <f>L24-K24</f>
        <v>5</v>
      </c>
      <c r="N24" s="9">
        <f>K24-63</f>
        <v>0</v>
      </c>
      <c r="O24" s="4">
        <v>24</v>
      </c>
      <c r="P24" s="4" t="s">
        <v>224</v>
      </c>
      <c r="Q24" s="4" t="s">
        <v>53</v>
      </c>
      <c r="R24" s="10">
        <v>850000</v>
      </c>
      <c r="S24" s="10">
        <v>2200</v>
      </c>
      <c r="T24" s="4" t="s">
        <v>98</v>
      </c>
      <c r="U24" s="4">
        <v>2030</v>
      </c>
      <c r="V24" s="4" t="s">
        <v>66</v>
      </c>
      <c r="W24" s="4">
        <f>COUNTIFS('Desempenho por Jogo (Logs)'!$G$5:$G$94, A24)</f>
        <v>3</v>
      </c>
      <c r="X24" s="4">
        <f>COUNTIFS('Desempenho por Jogo (Logs)'!$G$5:$G$94, A24, 'Desempenho por Jogo (Logs)'!$J$5:$J$94, "&lt;&gt;RES")</f>
        <v>2</v>
      </c>
      <c r="Y24" s="4">
        <f>COUNTIFS('Desempenho por Jogo (Logs)'!$G$5:$G$94, A24, 'Desempenho por Jogo (Logs)'!$J$5:$J$94, "RES")</f>
        <v>1</v>
      </c>
      <c r="Z24" s="4">
        <f>SUMIFS('Desempenho por Jogo (Logs)'!$K$5:$K$94, 'Desempenho por Jogo (Logs)'!$G$5:$G$94, A24)</f>
        <v>163</v>
      </c>
      <c r="AA24" s="11">
        <f>IF(Z24&gt;0, Z24/540, 0)</f>
        <v>0.302</v>
      </c>
      <c r="AB24" s="4">
        <f>SUMIFS('Desempenho por Jogo (Logs)'!$L$5:$L$94, 'Desempenho por Jogo (Logs)'!$G$5:$G$94, A24)</f>
        <v>0</v>
      </c>
      <c r="AC24" s="4">
        <v>0</v>
      </c>
      <c r="AD24" s="4">
        <f>AB24+AC24</f>
        <v>0</v>
      </c>
      <c r="AE24" s="12">
        <f>IF(Z24&gt;0, ROUND((AD24/Z24)*90, 2), 0)</f>
        <v>0.0</v>
      </c>
      <c r="AF24" s="4">
        <f>SUMIFS('Desempenho por Jogo (Logs)'!$L$5:$L$94, 'Desempenho por Jogo (Logs)'!$G$5:$G$94, A24, 'Desempenho por Jogo (Logs)'!$C$5:$C$94, "*Liga*")</f>
        <v>0</v>
      </c>
      <c r="AG24" s="4">
        <v>0</v>
      </c>
      <c r="AH24" s="4">
        <f>SUMIFS('Desempenho por Jogo (Logs)'!$L$5:$L$94, 'Desempenho por Jogo (Logs)'!$G$5:$G$94, A24, 'Desempenho por Jogo (Logs)'!$C$5:$C$94, "*Trophy*")</f>
        <v>0</v>
      </c>
      <c r="AI24" s="4">
        <v>0</v>
      </c>
      <c r="AJ24" s="4">
        <v>0</v>
      </c>
      <c r="AK24" s="12">
        <f>IFERROR(ROUND(AVERAGEIFS('Desempenho por Jogo (Logs)'!$N$5:$N$94, 'Desempenho por Jogo (Logs)'!$G$5:$G$94, A24, 'Desempenho por Jogo (Logs)'!$N$5:$N$94, "&gt;0"), 2), "S/N")</f>
        <v>6.5</v>
      </c>
      <c r="AL24" s="4" t="s">
        <v>225</v>
      </c>
      <c r="AM24" s="4" t="str">
        <f>IF(W24=0, "Nula (0 jogos)", IF(OR(W24&lt;=2, Z24&lt;150), "Baixa — Amostra Insuficiente", IF(AND(W24&gt;=4, Z24&gt;=240), "Alta", "Moderada")))</f>
        <v>Moderada (≥3J e ≥150m)</v>
      </c>
      <c r="AN24" s="5" t="str">
        <f>IF(W24=0, "Sem minutagem no save", IF(OR(W24&lt;=2, Z24&lt;150), "Amostra insuficiente (" &amp; W24 &amp; "J / " &amp; Z24 &amp; "m) — Continuar observando", IF(AK24&gt;=7.5, "Promover minutos / Titularidade em ascensão", IF(AK24&gt;=7.0, "Manter minutagem atual", "Avaliar opções / Rotação"))))</f>
        <v>Manter na Rotação do Elenco</v>
      </c>
      <c r="AO24" s="6" t="s">
        <v>226</v>
      </c>
      <c r="AP24" s="6" t="s">
        <v>227</v>
      </c>
    </row>
    <row r="25" spans="1:42" ht="21" customHeight="1">
      <c r="A25" s="4">
        <v>79752</v>
      </c>
      <c r="B25" s="4">
        <v>18</v>
      </c>
      <c r="C25" s="5" t="s">
        <v>228</v>
      </c>
      <c r="D25" s="6" t="s">
        <v>228</v>
      </c>
      <c r="E25" s="4" t="s">
        <v>215</v>
      </c>
      <c r="F25" s="4" t="s">
        <v>229</v>
      </c>
      <c r="G25" s="4" t="s">
        <v>48</v>
      </c>
      <c r="H25" s="4" t="s">
        <v>61</v>
      </c>
      <c r="I25" s="4" t="s">
        <v>62</v>
      </c>
      <c r="J25" s="4" t="s">
        <v>63</v>
      </c>
      <c r="K25" s="7">
        <v>65</v>
      </c>
      <c r="L25" s="8">
        <v>71</v>
      </c>
      <c r="M25" s="9">
        <f>L25-K25</f>
        <v>6</v>
      </c>
      <c r="N25" s="9">
        <f>K25-64</f>
        <v>1</v>
      </c>
      <c r="O25" s="4">
        <v>22</v>
      </c>
      <c r="P25" s="4" t="s">
        <v>230</v>
      </c>
      <c r="Q25" s="4" t="s">
        <v>53</v>
      </c>
      <c r="R25" s="10">
        <v>1400000</v>
      </c>
      <c r="S25" s="10">
        <v>2400</v>
      </c>
      <c r="T25" s="4" t="s">
        <v>98</v>
      </c>
      <c r="U25" s="4">
        <v>2028</v>
      </c>
      <c r="V25" s="4" t="s">
        <v>90</v>
      </c>
      <c r="W25" s="4">
        <f>COUNTIFS('Desempenho por Jogo (Logs)'!$G$5:$G$94, A25)</f>
        <v>3</v>
      </c>
      <c r="X25" s="4">
        <f>COUNTIFS('Desempenho por Jogo (Logs)'!$G$5:$G$94, A25, 'Desempenho por Jogo (Logs)'!$J$5:$J$94, "&lt;&gt;RES")</f>
        <v>1</v>
      </c>
      <c r="Y25" s="4">
        <f>COUNTIFS('Desempenho por Jogo (Logs)'!$G$5:$G$94, A25, 'Desempenho por Jogo (Logs)'!$J$5:$J$94, "RES")</f>
        <v>2</v>
      </c>
      <c r="Z25" s="4">
        <f>SUMIFS('Desempenho por Jogo (Logs)'!$K$5:$K$94, 'Desempenho por Jogo (Logs)'!$G$5:$G$94, A25)</f>
        <v>123</v>
      </c>
      <c r="AA25" s="11">
        <f>IF(Z25&gt;0, Z25/540, 0)</f>
        <v>0.228</v>
      </c>
      <c r="AB25" s="4">
        <f>SUMIFS('Desempenho por Jogo (Logs)'!$L$5:$L$94, 'Desempenho por Jogo (Logs)'!$G$5:$G$94, A25)</f>
        <v>0</v>
      </c>
      <c r="AC25" s="4">
        <v>0</v>
      </c>
      <c r="AD25" s="4">
        <f>AB25+AC25</f>
        <v>0</v>
      </c>
      <c r="AE25" s="12">
        <f>IF(Z25&gt;0, ROUND((AD25/Z25)*90, 2), 0)</f>
        <v>0.0</v>
      </c>
      <c r="AF25" s="4">
        <f>SUMIFS('Desempenho por Jogo (Logs)'!$L$5:$L$94, 'Desempenho por Jogo (Logs)'!$G$5:$G$94, A25, 'Desempenho por Jogo (Logs)'!$C$5:$C$94, "*Liga*")</f>
        <v>0</v>
      </c>
      <c r="AG25" s="4">
        <v>0</v>
      </c>
      <c r="AH25" s="4">
        <f>SUMIFS('Desempenho por Jogo (Logs)'!$L$5:$L$94, 'Desempenho por Jogo (Logs)'!$G$5:$G$94, A25, 'Desempenho por Jogo (Logs)'!$C$5:$C$94, "*Trophy*")</f>
        <v>0</v>
      </c>
      <c r="AI25" s="4">
        <v>0</v>
      </c>
      <c r="AJ25" s="4">
        <v>1</v>
      </c>
      <c r="AK25" s="12">
        <f>IFERROR(ROUND(AVERAGEIFS('Desempenho por Jogo (Logs)'!$N$5:$N$94, 'Desempenho por Jogo (Logs)'!$G$5:$G$94, A25, 'Desempenho por Jogo (Logs)'!$N$5:$N$94, "&gt;0"), 2), "S/N")</f>
        <v>7.3</v>
      </c>
      <c r="AL25" s="4" t="s">
        <v>231</v>
      </c>
      <c r="AM25" s="4" t="str">
        <f>IF(W25=0, "Nula (0 jogos)", IF(OR(W25&lt;=2, Z25&lt;150), "Baixa — Amostra Insuficiente", IF(AND(W25&gt;=4, Z25&gt;=240), "Alta", "Moderada")))</f>
        <v>Baixa — Amostra Insuficiente (3J / 123m)</v>
      </c>
      <c r="AN25" s="5" t="str">
        <f>IF(W25=0, "Sem minutagem no save", IF(OR(W25&lt;=2, Z25&lt;150), "Amostra insuficiente (" &amp; W25 &amp; "J / " &amp; Z25 &amp; "m) — Continuar observando", IF(AK25&gt;=7.5, "Promover minutos / Titularidade em ascensão", IF(AK25&gt;=7.0, "Manter minutagem atual", "Avaliar opções / Rotação"))))</f>
        <v>Amostra insuficiente (3J / 123m) — Continuar observando</v>
      </c>
      <c r="AO25" s="6" t="s">
        <v>232</v>
      </c>
      <c r="AP25" s="6" t="s">
        <v>233</v>
      </c>
    </row>
    <row r="26" spans="1:42" ht="21" customHeight="1">
      <c r="A26" s="4">
        <v>236393</v>
      </c>
      <c r="B26" s="4">
        <v>22</v>
      </c>
      <c r="C26" s="5" t="s">
        <v>234</v>
      </c>
      <c r="D26" s="6" t="s">
        <v>235</v>
      </c>
      <c r="E26" s="4" t="s">
        <v>215</v>
      </c>
      <c r="F26" s="4" t="s">
        <v>171</v>
      </c>
      <c r="G26" s="4" t="s">
        <v>48</v>
      </c>
      <c r="H26" s="4" t="s">
        <v>85</v>
      </c>
      <c r="I26" s="4" t="s">
        <v>107</v>
      </c>
      <c r="J26" s="4" t="s">
        <v>86</v>
      </c>
      <c r="K26" s="7">
        <v>67</v>
      </c>
      <c r="L26" s="8">
        <v>67</v>
      </c>
      <c r="M26" s="9">
        <f>L26-K26</f>
        <v>0</v>
      </c>
      <c r="N26" s="9">
        <f>K26-67</f>
        <v>0</v>
      </c>
      <c r="O26" s="4">
        <v>30</v>
      </c>
      <c r="P26" s="4" t="s">
        <v>236</v>
      </c>
      <c r="Q26" s="4" t="s">
        <v>53</v>
      </c>
      <c r="R26" s="10">
        <v>1200000</v>
      </c>
      <c r="S26" s="10">
        <v>4800</v>
      </c>
      <c r="T26" s="4" t="s">
        <v>98</v>
      </c>
      <c r="U26" s="4">
        <v>2028</v>
      </c>
      <c r="V26" s="4" t="s">
        <v>90</v>
      </c>
      <c r="W26" s="4">
        <f>COUNTIFS('Desempenho por Jogo (Logs)'!$G$5:$G$94, A26)</f>
        <v>4</v>
      </c>
      <c r="X26" s="4">
        <f>COUNTIFS('Desempenho por Jogo (Logs)'!$G$5:$G$94, A26, 'Desempenho por Jogo (Logs)'!$J$5:$J$94, "&lt;&gt;RES")</f>
        <v>3</v>
      </c>
      <c r="Y26" s="4">
        <f>COUNTIFS('Desempenho por Jogo (Logs)'!$G$5:$G$94, A26, 'Desempenho por Jogo (Logs)'!$J$5:$J$94, "RES")</f>
        <v>1</v>
      </c>
      <c r="Z26" s="4">
        <f>SUMIFS('Desempenho por Jogo (Logs)'!$K$5:$K$94, 'Desempenho por Jogo (Logs)'!$G$5:$G$94, A26)</f>
        <v>256</v>
      </c>
      <c r="AA26" s="11">
        <f>IF(Z26&gt;0, Z26/540, 0)</f>
        <v>0.474</v>
      </c>
      <c r="AB26" s="13">
        <f>SUMIFS('Desempenho por Jogo (Logs)'!$L$5:$L$94, 'Desempenho por Jogo (Logs)'!$G$5:$G$94, A26)</f>
        <v>4</v>
      </c>
      <c r="AC26" s="4">
        <v>1</v>
      </c>
      <c r="AD26" s="13">
        <f>AB26+AC26</f>
        <v>5</v>
      </c>
      <c r="AE26" s="12">
        <f>IF(Z26&gt;0, ROUND((AD26/Z26)*90, 2), 0)</f>
        <v>1.76</v>
      </c>
      <c r="AF26" s="4">
        <f>SUMIFS('Desempenho por Jogo (Logs)'!$L$5:$L$94, 'Desempenho por Jogo (Logs)'!$G$5:$G$94, A26, 'Desempenho por Jogo (Logs)'!$C$5:$C$94, "*Liga*")</f>
        <v>4</v>
      </c>
      <c r="AG26" s="4">
        <v>0</v>
      </c>
      <c r="AH26" s="4">
        <f>SUMIFS('Desempenho por Jogo (Logs)'!$L$5:$L$94, 'Desempenho por Jogo (Logs)'!$G$5:$G$94, A26, 'Desempenho por Jogo (Logs)'!$C$5:$C$94, "*Trophy*")</f>
        <v>0</v>
      </c>
      <c r="AI26" s="4">
        <v>1</v>
      </c>
      <c r="AJ26" s="4">
        <v>1</v>
      </c>
      <c r="AK26" s="12">
        <f>IFERROR(ROUND(AVERAGEIFS('Desempenho por Jogo (Logs)'!$N$5:$N$94, 'Desempenho por Jogo (Logs)'!$G$5:$G$94, A26, 'Desempenho por Jogo (Logs)'!$N$5:$N$94, "&gt;0"), 2), "S/N")</f>
        <v>8.1</v>
      </c>
      <c r="AL26" s="4" t="s">
        <v>237</v>
      </c>
      <c r="AM26" s="4" t="str">
        <f>IF(W26=0, "Nula (0 jogos)", IF(OR(W26&lt;=2, Z26&lt;150), "Baixa — Amostra Insuficiente", IF(AND(W26&gt;=4, Z26&gt;=240), "Alta", "Moderada")))</f>
        <v>Moderada (≥3J e ≥150m)</v>
      </c>
      <c r="AN26" s="5" t="str">
        <f>IF(W26=0, "Sem minutagem no save", IF(OR(W26&lt;=2, Z26&lt;150), "Amostra insuficiente (" &amp; W26 &amp; "J / " &amp; Z26 &amp; "m) — Continuar observando", IF(AK26&gt;=7.5, "Promover minutos / Titularidade em ascensão", IF(AK26&gt;=7.0, "Manter minutagem atual", "Avaliar opções / Rotação"))))</f>
        <v>Sugestão: Testar com Mais Minutos na Rotação</v>
      </c>
      <c r="AO26" s="6" t="s">
        <v>238</v>
      </c>
      <c r="AP26" s="6" t="s">
        <v>239</v>
      </c>
    </row>
    <row r="27" spans="1:42" ht="21" customHeight="1">
      <c r="A27" s="4">
        <v>228707</v>
      </c>
      <c r="B27" s="4">
        <v>23</v>
      </c>
      <c r="C27" s="5" t="s">
        <v>240</v>
      </c>
      <c r="D27" s="6" t="s">
        <v>241</v>
      </c>
      <c r="E27" s="4" t="s">
        <v>215</v>
      </c>
      <c r="F27" s="4" t="s">
        <v>242</v>
      </c>
      <c r="G27" s="4" t="s">
        <v>48</v>
      </c>
      <c r="H27" s="4" t="s">
        <v>49</v>
      </c>
      <c r="I27" s="4" t="s">
        <v>50</v>
      </c>
      <c r="J27" s="4" t="s">
        <v>51</v>
      </c>
      <c r="K27" s="7">
        <v>67</v>
      </c>
      <c r="L27" s="8">
        <v>68</v>
      </c>
      <c r="M27" s="9">
        <f>L27-K27</f>
        <v>1</v>
      </c>
      <c r="N27" s="9">
        <f>K27-66</f>
        <v>1</v>
      </c>
      <c r="O27" s="4">
        <v>28</v>
      </c>
      <c r="P27" s="4" t="s">
        <v>243</v>
      </c>
      <c r="Q27" s="4" t="s">
        <v>53</v>
      </c>
      <c r="R27" s="10">
        <v>1100000</v>
      </c>
      <c r="S27" s="10">
        <v>3500</v>
      </c>
      <c r="T27" s="4" t="s">
        <v>120</v>
      </c>
      <c r="U27" s="4">
        <v>2027</v>
      </c>
      <c r="V27" s="4" t="s">
        <v>55</v>
      </c>
      <c r="W27" s="4">
        <f>COUNTIFS('Desempenho por Jogo (Logs)'!$G$5:$G$94, A27)</f>
        <v>1</v>
      </c>
      <c r="X27" s="4">
        <f>COUNTIFS('Desempenho por Jogo (Logs)'!$G$5:$G$94, A27, 'Desempenho por Jogo (Logs)'!$J$5:$J$94, "&lt;&gt;RES")</f>
        <v>1</v>
      </c>
      <c r="Y27" s="4">
        <f>COUNTIFS('Desempenho por Jogo (Logs)'!$G$5:$G$94, A27, 'Desempenho por Jogo (Logs)'!$J$5:$J$94, "RES")</f>
        <v>0</v>
      </c>
      <c r="Z27" s="4">
        <f>SUMIFS('Desempenho por Jogo (Logs)'!$K$5:$K$94, 'Desempenho por Jogo (Logs)'!$G$5:$G$94, A27)</f>
        <v>90</v>
      </c>
      <c r="AA27" s="11">
        <f>IF(Z27&gt;0, Z27/540, 0)</f>
        <v>0.16699999999999998</v>
      </c>
      <c r="AB27" s="4">
        <f>SUMIFS('Desempenho por Jogo (Logs)'!$L$5:$L$94, 'Desempenho por Jogo (Logs)'!$G$5:$G$94, A27)</f>
        <v>0</v>
      </c>
      <c r="AC27" s="4">
        <v>0</v>
      </c>
      <c r="AD27" s="4">
        <f>AB27+AC27</f>
        <v>0</v>
      </c>
      <c r="AE27" s="12">
        <f>IF(Z27&gt;0, ROUND((AD27/Z27)*90, 2), 0)</f>
        <v>0.0</v>
      </c>
      <c r="AF27" s="4">
        <f>SUMIFS('Desempenho por Jogo (Logs)'!$L$5:$L$94, 'Desempenho por Jogo (Logs)'!$G$5:$G$94, A27, 'Desempenho por Jogo (Logs)'!$C$5:$C$94, "*Liga*")</f>
        <v>0</v>
      </c>
      <c r="AG27" s="4">
        <v>0</v>
      </c>
      <c r="AH27" s="4">
        <f>SUMIFS('Desempenho por Jogo (Logs)'!$L$5:$L$94, 'Desempenho por Jogo (Logs)'!$G$5:$G$94, A27, 'Desempenho por Jogo (Logs)'!$C$5:$C$94, "*Trophy*")</f>
        <v>0</v>
      </c>
      <c r="AI27" s="4">
        <v>0</v>
      </c>
      <c r="AJ27" s="4">
        <v>0</v>
      </c>
      <c r="AK27" s="12">
        <f>IFERROR(ROUND(AVERAGEIFS('Desempenho por Jogo (Logs)'!$N$5:$N$94, 'Desempenho por Jogo (Logs)'!$G$5:$G$94, A27, 'Desempenho por Jogo (Logs)'!$N$5:$N$94, "&gt;0"), 2), "S/N")</f>
        <v>8.5</v>
      </c>
      <c r="AL27" s="4" t="s">
        <v>244</v>
      </c>
      <c r="AM27" s="4" t="str">
        <f>IF(W27=0, "Nula (0 jogos)", IF(OR(W27&lt;=2, Z27&lt;150), "Baixa — Amostra Insuficiente", IF(AND(W27&gt;=4, Z27&gt;=240), "Alta", "Moderada")))</f>
        <v>Baixa — Amostra Insuficiente (1J / 90m)</v>
      </c>
      <c r="AN27" s="5" t="str">
        <f>IF(W27=0, "Sem minutagem no save", IF(OR(W27&lt;=2, Z27&lt;150), "Amostra insuficiente (" &amp; W27 &amp; "J / " &amp; Z27 &amp; "m) — Continuar observando", IF(AK27&gt;=7.5, "Promover minutos / Titularidade em ascensão", IF(AK27&gt;=7.0, "Manter minutagem atual", "Avaliar opções / Rotação"))))</f>
        <v>Amostra insuficiente (1J / 90m) — Continuar observando</v>
      </c>
      <c r="AO27" s="6" t="s">
        <v>245</v>
      </c>
      <c r="AP27" s="6" t="s">
        <v>246</v>
      </c>
    </row>
    <row r="28" spans="1:42" ht="21" customHeight="1">
      <c r="A28" s="4">
        <v>263347</v>
      </c>
      <c r="B28" s="4">
        <v>24</v>
      </c>
      <c r="C28" s="5" t="s">
        <v>247</v>
      </c>
      <c r="D28" s="6" t="s">
        <v>247</v>
      </c>
      <c r="E28" s="4" t="s">
        <v>215</v>
      </c>
      <c r="F28" s="4" t="s">
        <v>248</v>
      </c>
      <c r="G28" s="4" t="s">
        <v>48</v>
      </c>
      <c r="H28" s="4" t="s">
        <v>249</v>
      </c>
      <c r="I28" s="4" t="s">
        <v>61</v>
      </c>
      <c r="J28" s="4" t="s">
        <v>63</v>
      </c>
      <c r="K28" s="7">
        <v>63</v>
      </c>
      <c r="L28" s="8">
        <v>66</v>
      </c>
      <c r="M28" s="9">
        <f>L28-K28</f>
        <v>3</v>
      </c>
      <c r="N28" s="9">
        <f>K28-63</f>
        <v>0</v>
      </c>
      <c r="O28" s="4">
        <v>25</v>
      </c>
      <c r="P28" s="4" t="s">
        <v>250</v>
      </c>
      <c r="Q28" s="4" t="s">
        <v>119</v>
      </c>
      <c r="R28" s="10">
        <v>775000</v>
      </c>
      <c r="S28" s="10">
        <v>2200</v>
      </c>
      <c r="T28" s="4" t="s">
        <v>98</v>
      </c>
      <c r="U28" s="4">
        <v>2029</v>
      </c>
      <c r="V28" s="4" t="s">
        <v>77</v>
      </c>
      <c r="W28" s="4">
        <f>COUNTIFS('Desempenho por Jogo (Logs)'!$G$5:$G$94, A28)</f>
        <v>2</v>
      </c>
      <c r="X28" s="4">
        <f>COUNTIFS('Desempenho por Jogo (Logs)'!$G$5:$G$94, A28, 'Desempenho por Jogo (Logs)'!$J$5:$J$94, "&lt;&gt;RES")</f>
        <v>2</v>
      </c>
      <c r="Y28" s="4">
        <f>COUNTIFS('Desempenho por Jogo (Logs)'!$G$5:$G$94, A28, 'Desempenho por Jogo (Logs)'!$J$5:$J$94, "RES")</f>
        <v>0</v>
      </c>
      <c r="Z28" s="4">
        <f>SUMIFS('Desempenho por Jogo (Logs)'!$K$5:$K$94, 'Desempenho por Jogo (Logs)'!$G$5:$G$94, A28)</f>
        <v>105</v>
      </c>
      <c r="AA28" s="11">
        <f>IF(Z28&gt;0, Z28/540, 0)</f>
        <v>0.19399999999999998</v>
      </c>
      <c r="AB28" s="4">
        <f>SUMIFS('Desempenho por Jogo (Logs)'!$L$5:$L$94, 'Desempenho por Jogo (Logs)'!$G$5:$G$94, A28)</f>
        <v>0</v>
      </c>
      <c r="AC28" s="4">
        <v>0</v>
      </c>
      <c r="AD28" s="4">
        <f>AB28+AC28</f>
        <v>0</v>
      </c>
      <c r="AE28" s="12">
        <f>IF(Z28&gt;0, ROUND((AD28/Z28)*90, 2), 0)</f>
        <v>0.0</v>
      </c>
      <c r="AF28" s="4">
        <f>SUMIFS('Desempenho por Jogo (Logs)'!$L$5:$L$94, 'Desempenho por Jogo (Logs)'!$G$5:$G$94, A28, 'Desempenho por Jogo (Logs)'!$C$5:$C$94, "*Liga*")</f>
        <v>0</v>
      </c>
      <c r="AG28" s="4">
        <v>0</v>
      </c>
      <c r="AH28" s="4">
        <f>SUMIFS('Desempenho por Jogo (Logs)'!$L$5:$L$94, 'Desempenho por Jogo (Logs)'!$G$5:$G$94, A28, 'Desempenho por Jogo (Logs)'!$C$5:$C$94, "*Trophy*")</f>
        <v>0</v>
      </c>
      <c r="AI28" s="4">
        <v>0</v>
      </c>
      <c r="AJ28" s="4">
        <v>0</v>
      </c>
      <c r="AK28" s="12">
        <f>IFERROR(ROUND(AVERAGEIFS('Desempenho por Jogo (Logs)'!$N$5:$N$94, 'Desempenho por Jogo (Logs)'!$G$5:$G$94, A28, 'Desempenho por Jogo (Logs)'!$N$5:$N$94, "&gt;0"), 2), "S/N")</f>
        <v>6.4</v>
      </c>
      <c r="AL28" s="4" t="s">
        <v>251</v>
      </c>
      <c r="AM28" s="4" t="str">
        <f>IF(W28=0, "Nula (0 jogos)", IF(OR(W28&lt;=2, Z28&lt;150), "Baixa — Amostra Insuficiente", IF(AND(W28&gt;=4, Z28&gt;=240), "Alta", "Moderada")))</f>
        <v>Baixa — Amostra Insuficiente (2J / 105m)</v>
      </c>
      <c r="AN28" s="5" t="str">
        <f>IF(W28=0, "Sem minutagem no save", IF(OR(W28&lt;=2, Z28&lt;150), "Amostra insuficiente (" &amp; W28 &amp; "J / " &amp; Z28 &amp; "m) — Continuar observando", IF(AK28&gt;=7.5, "Promover minutos / Titularidade em ascensão", IF(AK28&gt;=7.0, "Manter minutagem atual", "Avaliar opções / Rotação"))))</f>
        <v>Amostra insuficiente (2J / 105m) — Continuar observando</v>
      </c>
      <c r="AO28" s="6" t="s">
        <v>252</v>
      </c>
      <c r="AP28" s="6" t="s">
        <v>253</v>
      </c>
    </row>
    <row r="29" spans="1:42" ht="21" customHeight="1">
      <c r="A29" s="4">
        <v>85904</v>
      </c>
      <c r="B29" s="4">
        <v>30</v>
      </c>
      <c r="C29" s="5" t="s">
        <v>254</v>
      </c>
      <c r="D29" s="6" t="s">
        <v>254</v>
      </c>
      <c r="E29" s="4" t="s">
        <v>215</v>
      </c>
      <c r="F29" s="4" t="s">
        <v>255</v>
      </c>
      <c r="G29" s="4" t="s">
        <v>48</v>
      </c>
      <c r="H29" s="4" t="s">
        <v>61</v>
      </c>
      <c r="I29" s="4" t="s">
        <v>62</v>
      </c>
      <c r="J29" s="4" t="s">
        <v>63</v>
      </c>
      <c r="K29" s="7">
        <v>58</v>
      </c>
      <c r="L29" s="8">
        <v>69</v>
      </c>
      <c r="M29" s="9">
        <f>L29-K29</f>
        <v>11</v>
      </c>
      <c r="N29" s="9">
        <f>K29-58</f>
        <v>0</v>
      </c>
      <c r="O29" s="4">
        <v>20</v>
      </c>
      <c r="P29" s="4" t="s">
        <v>256</v>
      </c>
      <c r="Q29" s="4" t="s">
        <v>53</v>
      </c>
      <c r="R29" s="10">
        <v>525000</v>
      </c>
      <c r="S29" s="10">
        <v>1200</v>
      </c>
      <c r="T29" s="4" t="s">
        <v>257</v>
      </c>
      <c r="U29" s="4">
        <v>2026</v>
      </c>
      <c r="V29" s="14" t="s">
        <v>258</v>
      </c>
      <c r="W29" s="4">
        <f>COUNTIFS('Desempenho por Jogo (Logs)'!$G$5:$G$94, A29)</f>
        <v>2</v>
      </c>
      <c r="X29" s="4">
        <f>COUNTIFS('Desempenho por Jogo (Logs)'!$G$5:$G$94, A29, 'Desempenho por Jogo (Logs)'!$J$5:$J$94, "&lt;&gt;RES")</f>
        <v>2</v>
      </c>
      <c r="Y29" s="4">
        <f>COUNTIFS('Desempenho por Jogo (Logs)'!$G$5:$G$94, A29, 'Desempenho por Jogo (Logs)'!$J$5:$J$94, "RES")</f>
        <v>0</v>
      </c>
      <c r="Z29" s="4">
        <f>SUMIFS('Desempenho por Jogo (Logs)'!$K$5:$K$94, 'Desempenho por Jogo (Logs)'!$G$5:$G$94, A29)</f>
        <v>135</v>
      </c>
      <c r="AA29" s="11">
        <f>IF(Z29&gt;0, Z29/540, 0)</f>
        <v>0.25</v>
      </c>
      <c r="AB29" s="4">
        <f>SUMIFS('Desempenho por Jogo (Logs)'!$L$5:$L$94, 'Desempenho por Jogo (Logs)'!$G$5:$G$94, A29)</f>
        <v>0</v>
      </c>
      <c r="AC29" s="4">
        <v>1</v>
      </c>
      <c r="AD29" s="13">
        <f>AB29+AC29</f>
        <v>1</v>
      </c>
      <c r="AE29" s="12">
        <f>IF(Z29&gt;0, ROUND((AD29/Z29)*90, 2), 0)</f>
        <v>0.67</v>
      </c>
      <c r="AF29" s="4">
        <f>SUMIFS('Desempenho por Jogo (Logs)'!$L$5:$L$94, 'Desempenho por Jogo (Logs)'!$G$5:$G$94, A29, 'Desempenho por Jogo (Logs)'!$C$5:$C$94, "*Liga*")</f>
        <v>0</v>
      </c>
      <c r="AG29" s="4">
        <v>0</v>
      </c>
      <c r="AH29" s="4">
        <f>SUMIFS('Desempenho por Jogo (Logs)'!$L$5:$L$94, 'Desempenho por Jogo (Logs)'!$G$5:$G$94, A29, 'Desempenho por Jogo (Logs)'!$C$5:$C$94, "*Trophy*")</f>
        <v>0</v>
      </c>
      <c r="AI29" s="4">
        <v>1</v>
      </c>
      <c r="AJ29" s="4">
        <v>0</v>
      </c>
      <c r="AK29" s="12">
        <f>IFERROR(ROUND(AVERAGEIFS('Desempenho por Jogo (Logs)'!$N$5:$N$94, 'Desempenho por Jogo (Logs)'!$G$5:$G$94, A29, 'Desempenho por Jogo (Logs)'!$N$5:$N$94, "&gt;0"), 2), "S/N")</f>
        <v>7.8</v>
      </c>
      <c r="AL29" s="4" t="s">
        <v>259</v>
      </c>
      <c r="AM29" s="4" t="str">
        <f>IF(W29=0, "Nula (0 jogos)", IF(OR(W29&lt;=2, Z29&lt;150), "Baixa — Amostra Insuficiente", IF(AND(W29&gt;=4, Z29&gt;=240), "Alta", "Moderada")))</f>
        <v>Baixa — Amostra Insuficiente (2J / 135m)</v>
      </c>
      <c r="AN29" s="5" t="str">
        <f>IF(W29=0, "Sem minutagem no save", IF(OR(W29&lt;=2, Z29&lt;150), "Amostra insuficiente (" &amp; W29 &amp; "J / " &amp; Z29 &amp; "m) — Continuar observando", IF(AK29&gt;=7.5, "Promover minutos / Titularidade em ascensão", IF(AK29&gt;=7.0, "Manter minutagem atual", "Avaliar opções / Rotação"))))</f>
        <v>Amostra insuficiente (2J / 135m) — Continuar observando</v>
      </c>
      <c r="AO29" s="6" t="s">
        <v>260</v>
      </c>
      <c r="AP29" s="6" t="s">
        <v>261</v>
      </c>
    </row>
  </sheetData>
  <autoFilter ref="A4:AP29"/>
  <mergeCells count="2">
    <mergeCell ref="A1:AP1"/>
    <mergeCell ref="A2:A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94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16.7109375" customWidth="1"/>
    <col min="3" max="3" width="34.7109375" customWidth="1"/>
    <col min="4" max="8" width="16.7109375" customWidth="1"/>
    <col min="9" max="9" width="22.7109375" customWidth="1"/>
    <col min="10" max="12" width="16.7109375" customWidth="1"/>
    <col min="13" max="13" width="22.7109375" customWidth="1"/>
    <col min="14" max="14" width="16.7109375" customWidth="1"/>
  </cols>
  <sheetData>
    <row r="1" spans="1:14" ht="28" customHeight="1">
      <c r="A1" s="1" t="s">
        <v>262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0" customHeight="1">
      <c r="A2" s="2" t="s">
        <v>263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 ht="28" customHeight="1">
      <c r="A4" s="3" t="s">
        <v>264</v>
      </c>
      <c r="B4" s="3" t="s">
        <v>265</v>
      </c>
      <c r="C4" s="3" t="s">
        <v>266</v>
      </c>
      <c r="D4" s="3" t="s">
        <v>267</v>
      </c>
      <c r="E4" s="3" t="s">
        <v>268</v>
      </c>
      <c r="F4" s="3" t="s">
        <v>269</v>
      </c>
      <c r="G4" s="3" t="s">
        <v>2</v>
      </c>
      <c r="H4" s="3" t="s">
        <v>270</v>
      </c>
      <c r="I4" s="3" t="s">
        <v>4</v>
      </c>
      <c r="J4" s="3" t="s">
        <v>271</v>
      </c>
      <c r="K4" s="3" t="s">
        <v>272</v>
      </c>
      <c r="L4" s="3" t="s">
        <v>273</v>
      </c>
      <c r="M4" s="3" t="s">
        <v>274</v>
      </c>
      <c r="N4" s="3" t="s">
        <v>275</v>
      </c>
    </row>
    <row r="5" spans="1:14" ht="20" customHeight="1">
      <c r="A5" s="4" t="s">
        <v>276</v>
      </c>
      <c r="B5" s="4" t="s">
        <v>277</v>
      </c>
      <c r="C5" s="6" t="s">
        <v>278</v>
      </c>
      <c r="D5" s="5" t="s">
        <v>279</v>
      </c>
      <c r="E5" s="4" t="s">
        <v>280</v>
      </c>
      <c r="F5" s="4" t="s">
        <v>281</v>
      </c>
      <c r="G5" s="4">
        <v>241505</v>
      </c>
      <c r="H5" s="4">
        <v>17</v>
      </c>
      <c r="I5" s="5" t="s">
        <v>114</v>
      </c>
      <c r="J5" s="4" t="s">
        <v>117</v>
      </c>
      <c r="K5" s="4">
        <v>90</v>
      </c>
      <c r="L5" s="4">
        <v>0</v>
      </c>
      <c r="M5" s="4">
        <v>0</v>
      </c>
      <c r="N5" s="12">
        <v>6.9</v>
      </c>
    </row>
    <row r="6" spans="1:14" ht="20" customHeight="1">
      <c r="A6" s="4" t="s">
        <v>276</v>
      </c>
      <c r="B6" s="4" t="s">
        <v>277</v>
      </c>
      <c r="C6" s="6" t="s">
        <v>278</v>
      </c>
      <c r="D6" s="5" t="s">
        <v>279</v>
      </c>
      <c r="E6" s="4" t="s">
        <v>280</v>
      </c>
      <c r="F6" s="4" t="s">
        <v>281</v>
      </c>
      <c r="G6" s="4">
        <v>279881</v>
      </c>
      <c r="H6" s="4">
        <v>21</v>
      </c>
      <c r="I6" s="5" t="s">
        <v>134</v>
      </c>
      <c r="J6" s="4" t="s">
        <v>61</v>
      </c>
      <c r="K6" s="4">
        <v>90</v>
      </c>
      <c r="L6" s="4">
        <v>0</v>
      </c>
      <c r="M6" s="13" t="s">
        <v>282</v>
      </c>
      <c r="N6" s="12">
        <v>6.7</v>
      </c>
    </row>
    <row r="7" spans="1:14" ht="20" customHeight="1">
      <c r="A7" s="4" t="s">
        <v>276</v>
      </c>
      <c r="B7" s="4" t="s">
        <v>277</v>
      </c>
      <c r="C7" s="6" t="s">
        <v>278</v>
      </c>
      <c r="D7" s="5" t="s">
        <v>279</v>
      </c>
      <c r="E7" s="4" t="s">
        <v>280</v>
      </c>
      <c r="F7" s="4" t="s">
        <v>281</v>
      </c>
      <c r="G7" s="4">
        <v>271955</v>
      </c>
      <c r="H7" s="4">
        <v>5</v>
      </c>
      <c r="I7" s="5" t="s">
        <v>44</v>
      </c>
      <c r="J7" s="4" t="s">
        <v>49</v>
      </c>
      <c r="K7" s="4">
        <v>90</v>
      </c>
      <c r="L7" s="4">
        <v>0</v>
      </c>
      <c r="M7" s="4">
        <v>0</v>
      </c>
      <c r="N7" s="12">
        <v>6.3</v>
      </c>
    </row>
    <row r="8" spans="1:14" ht="20" customHeight="1">
      <c r="A8" s="4" t="s">
        <v>276</v>
      </c>
      <c r="B8" s="4" t="s">
        <v>277</v>
      </c>
      <c r="C8" s="6" t="s">
        <v>278</v>
      </c>
      <c r="D8" s="5" t="s">
        <v>279</v>
      </c>
      <c r="E8" s="4" t="s">
        <v>280</v>
      </c>
      <c r="F8" s="4" t="s">
        <v>281</v>
      </c>
      <c r="G8" s="4">
        <v>276198</v>
      </c>
      <c r="H8" s="4">
        <v>25</v>
      </c>
      <c r="I8" s="5" t="s">
        <v>142</v>
      </c>
      <c r="J8" s="4" t="s">
        <v>145</v>
      </c>
      <c r="K8" s="4">
        <v>90</v>
      </c>
      <c r="L8" s="4">
        <v>0</v>
      </c>
      <c r="M8" s="4">
        <v>0</v>
      </c>
      <c r="N8" s="12">
        <v>6.1</v>
      </c>
    </row>
    <row r="9" spans="1:14" ht="20" customHeight="1">
      <c r="A9" s="4" t="s">
        <v>276</v>
      </c>
      <c r="B9" s="4" t="s">
        <v>277</v>
      </c>
      <c r="C9" s="6" t="s">
        <v>278</v>
      </c>
      <c r="D9" s="5" t="s">
        <v>279</v>
      </c>
      <c r="E9" s="4" t="s">
        <v>280</v>
      </c>
      <c r="F9" s="4" t="s">
        <v>281</v>
      </c>
      <c r="G9" s="4">
        <v>266100</v>
      </c>
      <c r="H9" s="4">
        <v>6</v>
      </c>
      <c r="I9" s="5" t="s">
        <v>59</v>
      </c>
      <c r="J9" s="4" t="s">
        <v>61</v>
      </c>
      <c r="K9" s="4">
        <v>88</v>
      </c>
      <c r="L9" s="4">
        <v>0</v>
      </c>
      <c r="M9" s="13" t="s">
        <v>282</v>
      </c>
      <c r="N9" s="12">
        <v>7.9</v>
      </c>
    </row>
    <row r="10" spans="1:14" ht="20" customHeight="1">
      <c r="A10" s="4" t="s">
        <v>276</v>
      </c>
      <c r="B10" s="4" t="s">
        <v>277</v>
      </c>
      <c r="C10" s="6" t="s">
        <v>278</v>
      </c>
      <c r="D10" s="5" t="s">
        <v>279</v>
      </c>
      <c r="E10" s="4" t="s">
        <v>280</v>
      </c>
      <c r="F10" s="4" t="s">
        <v>281</v>
      </c>
      <c r="G10" s="4">
        <v>260044</v>
      </c>
      <c r="H10" s="4">
        <v>11</v>
      </c>
      <c r="I10" s="5" t="s">
        <v>81</v>
      </c>
      <c r="J10" s="4" t="s">
        <v>85</v>
      </c>
      <c r="K10" s="4">
        <v>88</v>
      </c>
      <c r="L10" s="13">
        <v>1</v>
      </c>
      <c r="M10" s="4">
        <v>0</v>
      </c>
      <c r="N10" s="12">
        <v>7.3</v>
      </c>
    </row>
    <row r="11" spans="1:14" ht="20" customHeight="1">
      <c r="A11" s="4" t="s">
        <v>276</v>
      </c>
      <c r="B11" s="4" t="s">
        <v>277</v>
      </c>
      <c r="C11" s="6" t="s">
        <v>278</v>
      </c>
      <c r="D11" s="5" t="s">
        <v>279</v>
      </c>
      <c r="E11" s="4" t="s">
        <v>280</v>
      </c>
      <c r="F11" s="4" t="s">
        <v>281</v>
      </c>
      <c r="G11" s="4">
        <v>75437</v>
      </c>
      <c r="H11" s="4">
        <v>29</v>
      </c>
      <c r="I11" s="5" t="s">
        <v>152</v>
      </c>
      <c r="J11" s="4" t="s">
        <v>156</v>
      </c>
      <c r="K11" s="4">
        <v>88</v>
      </c>
      <c r="L11" s="4">
        <v>0</v>
      </c>
      <c r="M11" s="4">
        <v>0</v>
      </c>
      <c r="N11" s="12">
        <v>6.7</v>
      </c>
    </row>
    <row r="12" spans="1:14" ht="20" customHeight="1">
      <c r="A12" s="4" t="s">
        <v>276</v>
      </c>
      <c r="B12" s="4" t="s">
        <v>277</v>
      </c>
      <c r="C12" s="6" t="s">
        <v>278</v>
      </c>
      <c r="D12" s="5" t="s">
        <v>279</v>
      </c>
      <c r="E12" s="4" t="s">
        <v>280</v>
      </c>
      <c r="F12" s="4" t="s">
        <v>281</v>
      </c>
      <c r="G12" s="4">
        <v>277311</v>
      </c>
      <c r="H12" s="4">
        <v>10</v>
      </c>
      <c r="I12" s="5" t="s">
        <v>222</v>
      </c>
      <c r="J12" s="4" t="s">
        <v>61</v>
      </c>
      <c r="K12" s="4">
        <v>88</v>
      </c>
      <c r="L12" s="4">
        <v>0</v>
      </c>
      <c r="M12" s="4">
        <v>0</v>
      </c>
      <c r="N12" s="12">
        <v>6.2</v>
      </c>
    </row>
    <row r="13" spans="1:14" ht="20" customHeight="1">
      <c r="A13" s="4" t="s">
        <v>276</v>
      </c>
      <c r="B13" s="4" t="s">
        <v>277</v>
      </c>
      <c r="C13" s="6" t="s">
        <v>278</v>
      </c>
      <c r="D13" s="5" t="s">
        <v>279</v>
      </c>
      <c r="E13" s="4" t="s">
        <v>280</v>
      </c>
      <c r="F13" s="4" t="s">
        <v>281</v>
      </c>
      <c r="G13" s="4">
        <v>279603</v>
      </c>
      <c r="H13" s="4">
        <v>15</v>
      </c>
      <c r="I13" s="5" t="s">
        <v>102</v>
      </c>
      <c r="J13" s="4" t="s">
        <v>106</v>
      </c>
      <c r="K13" s="4">
        <v>88</v>
      </c>
      <c r="L13" s="4">
        <v>0</v>
      </c>
      <c r="M13" s="13" t="s">
        <v>282</v>
      </c>
      <c r="N13" s="12">
        <v>6.1</v>
      </c>
    </row>
    <row r="14" spans="1:14" ht="20" customHeight="1">
      <c r="A14" s="4" t="s">
        <v>276</v>
      </c>
      <c r="B14" s="4" t="s">
        <v>277</v>
      </c>
      <c r="C14" s="6" t="s">
        <v>278</v>
      </c>
      <c r="D14" s="5" t="s">
        <v>279</v>
      </c>
      <c r="E14" s="4" t="s">
        <v>280</v>
      </c>
      <c r="F14" s="4" t="s">
        <v>281</v>
      </c>
      <c r="G14" s="4">
        <v>245704</v>
      </c>
      <c r="H14" s="4">
        <v>20</v>
      </c>
      <c r="I14" s="5" t="s">
        <v>205</v>
      </c>
      <c r="J14" s="4" t="s">
        <v>283</v>
      </c>
      <c r="K14" s="4">
        <v>46</v>
      </c>
      <c r="L14" s="4">
        <v>0</v>
      </c>
      <c r="M14" s="4">
        <v>0</v>
      </c>
      <c r="N14" s="12">
        <v>6.1</v>
      </c>
    </row>
    <row r="15" spans="1:14" ht="20" customHeight="1">
      <c r="A15" s="4" t="s">
        <v>276</v>
      </c>
      <c r="B15" s="4" t="s">
        <v>277</v>
      </c>
      <c r="C15" s="6" t="s">
        <v>278</v>
      </c>
      <c r="D15" s="5" t="s">
        <v>279</v>
      </c>
      <c r="E15" s="4" t="s">
        <v>280</v>
      </c>
      <c r="F15" s="4" t="s">
        <v>281</v>
      </c>
      <c r="G15" s="4">
        <v>79703</v>
      </c>
      <c r="H15" s="4">
        <v>4</v>
      </c>
      <c r="I15" s="5" t="s">
        <v>176</v>
      </c>
      <c r="J15" s="4" t="s">
        <v>284</v>
      </c>
      <c r="K15" s="4">
        <v>46</v>
      </c>
      <c r="L15" s="4">
        <v>0</v>
      </c>
      <c r="M15" s="4">
        <v>0</v>
      </c>
      <c r="N15" s="12">
        <v>4.8</v>
      </c>
    </row>
    <row r="16" spans="1:14" ht="20" customHeight="1">
      <c r="A16" s="4" t="s">
        <v>276</v>
      </c>
      <c r="B16" s="4" t="s">
        <v>277</v>
      </c>
      <c r="C16" s="6" t="s">
        <v>278</v>
      </c>
      <c r="D16" s="5" t="s">
        <v>279</v>
      </c>
      <c r="E16" s="4" t="s">
        <v>280</v>
      </c>
      <c r="F16" s="4" t="s">
        <v>281</v>
      </c>
      <c r="G16" s="4">
        <v>263006</v>
      </c>
      <c r="H16" s="4">
        <v>19</v>
      </c>
      <c r="I16" s="5" t="s">
        <v>124</v>
      </c>
      <c r="J16" s="4" t="s">
        <v>128</v>
      </c>
      <c r="K16" s="4">
        <v>45</v>
      </c>
      <c r="L16" s="4">
        <v>0</v>
      </c>
      <c r="M16" s="4">
        <v>0</v>
      </c>
      <c r="N16" s="12">
        <v>7.5</v>
      </c>
    </row>
    <row r="17" spans="1:14" ht="20" customHeight="1">
      <c r="A17" s="4" t="s">
        <v>276</v>
      </c>
      <c r="B17" s="4" t="s">
        <v>277</v>
      </c>
      <c r="C17" s="6" t="s">
        <v>278</v>
      </c>
      <c r="D17" s="5" t="s">
        <v>279</v>
      </c>
      <c r="E17" s="4" t="s">
        <v>280</v>
      </c>
      <c r="F17" s="4" t="s">
        <v>281</v>
      </c>
      <c r="G17" s="4">
        <v>247500</v>
      </c>
      <c r="H17" s="4">
        <v>12</v>
      </c>
      <c r="I17" s="5" t="s">
        <v>94</v>
      </c>
      <c r="J17" s="4" t="s">
        <v>49</v>
      </c>
      <c r="K17" s="4">
        <v>45</v>
      </c>
      <c r="L17" s="4">
        <v>0</v>
      </c>
      <c r="M17" s="4">
        <v>0</v>
      </c>
      <c r="N17" s="12">
        <v>6.7</v>
      </c>
    </row>
    <row r="18" spans="1:14" ht="20" customHeight="1">
      <c r="A18" s="4" t="s">
        <v>276</v>
      </c>
      <c r="B18" s="4" t="s">
        <v>277</v>
      </c>
      <c r="C18" s="6" t="s">
        <v>278</v>
      </c>
      <c r="D18" s="5" t="s">
        <v>279</v>
      </c>
      <c r="E18" s="4" t="s">
        <v>280</v>
      </c>
      <c r="F18" s="4" t="s">
        <v>281</v>
      </c>
      <c r="G18" s="4">
        <v>262498</v>
      </c>
      <c r="H18" s="4">
        <v>2</v>
      </c>
      <c r="I18" s="5" t="s">
        <v>162</v>
      </c>
      <c r="J18" s="4" t="s">
        <v>285</v>
      </c>
      <c r="K18" s="4">
        <v>3</v>
      </c>
      <c r="L18" s="4">
        <v>0</v>
      </c>
      <c r="M18" s="4">
        <v>0</v>
      </c>
      <c r="N18" s="12">
        <v>6.5</v>
      </c>
    </row>
    <row r="19" spans="1:14" ht="20" customHeight="1">
      <c r="A19" s="4" t="s">
        <v>276</v>
      </c>
      <c r="B19" s="4" t="s">
        <v>277</v>
      </c>
      <c r="C19" s="6" t="s">
        <v>278</v>
      </c>
      <c r="D19" s="5" t="s">
        <v>279</v>
      </c>
      <c r="E19" s="4" t="s">
        <v>280</v>
      </c>
      <c r="F19" s="4" t="s">
        <v>281</v>
      </c>
      <c r="G19" s="4">
        <v>79752</v>
      </c>
      <c r="H19" s="4">
        <v>18</v>
      </c>
      <c r="I19" s="5" t="s">
        <v>228</v>
      </c>
      <c r="J19" s="4" t="s">
        <v>286</v>
      </c>
      <c r="K19" s="4">
        <v>3</v>
      </c>
      <c r="L19" s="4">
        <v>0</v>
      </c>
      <c r="M19" s="4">
        <v>0</v>
      </c>
      <c r="N19" s="12">
        <v>6.4</v>
      </c>
    </row>
    <row r="20" spans="1:14" ht="20" customHeight="1">
      <c r="A20" s="4" t="s">
        <v>276</v>
      </c>
      <c r="B20" s="4" t="s">
        <v>277</v>
      </c>
      <c r="C20" s="6" t="s">
        <v>278</v>
      </c>
      <c r="D20" s="5" t="s">
        <v>279</v>
      </c>
      <c r="E20" s="4" t="s">
        <v>280</v>
      </c>
      <c r="F20" s="4" t="s">
        <v>281</v>
      </c>
      <c r="G20" s="4">
        <v>278758</v>
      </c>
      <c r="H20" s="4">
        <v>16</v>
      </c>
      <c r="I20" s="5" t="s">
        <v>198</v>
      </c>
      <c r="J20" s="4" t="s">
        <v>287</v>
      </c>
      <c r="K20" s="4">
        <v>3</v>
      </c>
      <c r="L20" s="4">
        <v>0</v>
      </c>
      <c r="M20" s="4">
        <v>0</v>
      </c>
      <c r="N20" s="12">
        <v>6.2</v>
      </c>
    </row>
    <row r="21" spans="1:14" ht="20" customHeight="1">
      <c r="A21" s="4" t="s">
        <v>276</v>
      </c>
      <c r="B21" s="4" t="s">
        <v>277</v>
      </c>
      <c r="C21" s="6" t="s">
        <v>278</v>
      </c>
      <c r="D21" s="5" t="s">
        <v>279</v>
      </c>
      <c r="E21" s="4" t="s">
        <v>280</v>
      </c>
      <c r="F21" s="4" t="s">
        <v>281</v>
      </c>
      <c r="G21" s="4">
        <v>274828</v>
      </c>
      <c r="H21" s="4">
        <v>7</v>
      </c>
      <c r="I21" s="5" t="s">
        <v>213</v>
      </c>
      <c r="J21" s="4" t="s">
        <v>288</v>
      </c>
      <c r="K21" s="4">
        <v>3</v>
      </c>
      <c r="L21" s="4">
        <v>0</v>
      </c>
      <c r="M21" s="4">
        <v>0</v>
      </c>
      <c r="N21" s="12">
        <v>6.2</v>
      </c>
    </row>
    <row r="22" spans="1:14" ht="20" customHeight="1">
      <c r="A22" s="4" t="s">
        <v>289</v>
      </c>
      <c r="B22" s="4" t="s">
        <v>290</v>
      </c>
      <c r="C22" s="6" t="s">
        <v>278</v>
      </c>
      <c r="D22" s="5" t="s">
        <v>291</v>
      </c>
      <c r="E22" s="4" t="s">
        <v>292</v>
      </c>
      <c r="F22" s="4" t="s">
        <v>293</v>
      </c>
      <c r="G22" s="4">
        <v>79752</v>
      </c>
      <c r="H22" s="4">
        <v>18</v>
      </c>
      <c r="I22" s="5" t="s">
        <v>228</v>
      </c>
      <c r="J22" s="4" t="s">
        <v>61</v>
      </c>
      <c r="K22" s="4">
        <v>90</v>
      </c>
      <c r="L22" s="4">
        <v>0</v>
      </c>
      <c r="M22" s="4">
        <v>0</v>
      </c>
      <c r="N22" s="12">
        <v>9.1</v>
      </c>
    </row>
    <row r="23" spans="1:14" ht="20" customHeight="1">
      <c r="A23" s="4" t="s">
        <v>289</v>
      </c>
      <c r="B23" s="4" t="s">
        <v>290</v>
      </c>
      <c r="C23" s="6" t="s">
        <v>278</v>
      </c>
      <c r="D23" s="5" t="s">
        <v>291</v>
      </c>
      <c r="E23" s="4" t="s">
        <v>292</v>
      </c>
      <c r="F23" s="4" t="s">
        <v>293</v>
      </c>
      <c r="G23" s="4">
        <v>271955</v>
      </c>
      <c r="H23" s="4">
        <v>5</v>
      </c>
      <c r="I23" s="5" t="s">
        <v>44</v>
      </c>
      <c r="J23" s="4" t="s">
        <v>49</v>
      </c>
      <c r="K23" s="4">
        <v>90</v>
      </c>
      <c r="L23" s="4">
        <v>0</v>
      </c>
      <c r="M23" s="4">
        <v>0</v>
      </c>
      <c r="N23" s="12">
        <v>8.800000000000001</v>
      </c>
    </row>
    <row r="24" spans="1:14" ht="20" customHeight="1">
      <c r="A24" s="4" t="s">
        <v>289</v>
      </c>
      <c r="B24" s="4" t="s">
        <v>290</v>
      </c>
      <c r="C24" s="6" t="s">
        <v>278</v>
      </c>
      <c r="D24" s="5" t="s">
        <v>291</v>
      </c>
      <c r="E24" s="4" t="s">
        <v>292</v>
      </c>
      <c r="F24" s="4" t="s">
        <v>293</v>
      </c>
      <c r="G24" s="4">
        <v>273022</v>
      </c>
      <c r="H24" s="4">
        <v>3</v>
      </c>
      <c r="I24" s="5" t="s">
        <v>170</v>
      </c>
      <c r="J24" s="4" t="s">
        <v>107</v>
      </c>
      <c r="K24" s="4">
        <v>90</v>
      </c>
      <c r="L24" s="13">
        <v>1</v>
      </c>
      <c r="M24" s="4">
        <v>0</v>
      </c>
      <c r="N24" s="12">
        <v>8.800000000000001</v>
      </c>
    </row>
    <row r="25" spans="1:14" ht="20" customHeight="1">
      <c r="A25" s="4" t="s">
        <v>289</v>
      </c>
      <c r="B25" s="4" t="s">
        <v>290</v>
      </c>
      <c r="C25" s="6" t="s">
        <v>278</v>
      </c>
      <c r="D25" s="5" t="s">
        <v>291</v>
      </c>
      <c r="E25" s="4" t="s">
        <v>292</v>
      </c>
      <c r="F25" s="4" t="s">
        <v>293</v>
      </c>
      <c r="G25" s="4">
        <v>236393</v>
      </c>
      <c r="H25" s="4">
        <v>22</v>
      </c>
      <c r="I25" s="5" t="s">
        <v>234</v>
      </c>
      <c r="J25" s="4" t="s">
        <v>85</v>
      </c>
      <c r="K25" s="4">
        <v>90</v>
      </c>
      <c r="L25" s="4">
        <v>0</v>
      </c>
      <c r="M25" s="13">
        <v>1</v>
      </c>
      <c r="N25" s="12">
        <v>8.699999999999999</v>
      </c>
    </row>
    <row r="26" spans="1:14" ht="20" customHeight="1">
      <c r="A26" s="4" t="s">
        <v>289</v>
      </c>
      <c r="B26" s="4" t="s">
        <v>290</v>
      </c>
      <c r="C26" s="6" t="s">
        <v>278</v>
      </c>
      <c r="D26" s="5" t="s">
        <v>291</v>
      </c>
      <c r="E26" s="4" t="s">
        <v>292</v>
      </c>
      <c r="F26" s="4" t="s">
        <v>293</v>
      </c>
      <c r="G26" s="4">
        <v>230134</v>
      </c>
      <c r="H26" s="4">
        <v>14</v>
      </c>
      <c r="I26" s="5" t="s">
        <v>190</v>
      </c>
      <c r="J26" s="4" t="s">
        <v>61</v>
      </c>
      <c r="K26" s="4">
        <v>90</v>
      </c>
      <c r="L26" s="4">
        <v>0</v>
      </c>
      <c r="M26" s="4">
        <v>0</v>
      </c>
      <c r="N26" s="12">
        <v>8.5</v>
      </c>
    </row>
    <row r="27" spans="1:14" ht="20" customHeight="1">
      <c r="A27" s="4" t="s">
        <v>289</v>
      </c>
      <c r="B27" s="4" t="s">
        <v>290</v>
      </c>
      <c r="C27" s="6" t="s">
        <v>278</v>
      </c>
      <c r="D27" s="5" t="s">
        <v>291</v>
      </c>
      <c r="E27" s="4" t="s">
        <v>292</v>
      </c>
      <c r="F27" s="4" t="s">
        <v>293</v>
      </c>
      <c r="G27" s="4">
        <v>262498</v>
      </c>
      <c r="H27" s="4">
        <v>2</v>
      </c>
      <c r="I27" s="5" t="s">
        <v>162</v>
      </c>
      <c r="J27" s="4" t="s">
        <v>117</v>
      </c>
      <c r="K27" s="4">
        <v>90</v>
      </c>
      <c r="L27" s="4">
        <v>0</v>
      </c>
      <c r="M27" s="4">
        <v>0</v>
      </c>
      <c r="N27" s="12">
        <v>8.5</v>
      </c>
    </row>
    <row r="28" spans="1:14" ht="20" customHeight="1">
      <c r="A28" s="4" t="s">
        <v>289</v>
      </c>
      <c r="B28" s="4" t="s">
        <v>290</v>
      </c>
      <c r="C28" s="6" t="s">
        <v>278</v>
      </c>
      <c r="D28" s="5" t="s">
        <v>291</v>
      </c>
      <c r="E28" s="4" t="s">
        <v>292</v>
      </c>
      <c r="F28" s="4" t="s">
        <v>293</v>
      </c>
      <c r="G28" s="4">
        <v>263006</v>
      </c>
      <c r="H28" s="4">
        <v>19</v>
      </c>
      <c r="I28" s="5" t="s">
        <v>124</v>
      </c>
      <c r="J28" s="4" t="s">
        <v>128</v>
      </c>
      <c r="K28" s="4">
        <v>90</v>
      </c>
      <c r="L28" s="13">
        <v>1</v>
      </c>
      <c r="M28" s="4">
        <v>0</v>
      </c>
      <c r="N28" s="12">
        <v>8.4</v>
      </c>
    </row>
    <row r="29" spans="1:14" ht="20" customHeight="1">
      <c r="A29" s="4" t="s">
        <v>289</v>
      </c>
      <c r="B29" s="4" t="s">
        <v>290</v>
      </c>
      <c r="C29" s="6" t="s">
        <v>278</v>
      </c>
      <c r="D29" s="5" t="s">
        <v>291</v>
      </c>
      <c r="E29" s="4" t="s">
        <v>292</v>
      </c>
      <c r="F29" s="4" t="s">
        <v>293</v>
      </c>
      <c r="G29" s="4">
        <v>85904</v>
      </c>
      <c r="H29" s="4">
        <v>30</v>
      </c>
      <c r="I29" s="5" t="s">
        <v>254</v>
      </c>
      <c r="J29" s="4" t="s">
        <v>61</v>
      </c>
      <c r="K29" s="4">
        <v>90</v>
      </c>
      <c r="L29" s="4">
        <v>0</v>
      </c>
      <c r="M29" s="13" t="s">
        <v>282</v>
      </c>
      <c r="N29" s="12">
        <v>8.1</v>
      </c>
    </row>
    <row r="30" spans="1:14" ht="20" customHeight="1">
      <c r="A30" s="4" t="s">
        <v>289</v>
      </c>
      <c r="B30" s="4" t="s">
        <v>290</v>
      </c>
      <c r="C30" s="6" t="s">
        <v>278</v>
      </c>
      <c r="D30" s="5" t="s">
        <v>291</v>
      </c>
      <c r="E30" s="4" t="s">
        <v>292</v>
      </c>
      <c r="F30" s="4" t="s">
        <v>293</v>
      </c>
      <c r="G30" s="4">
        <v>265405</v>
      </c>
      <c r="H30" s="4">
        <v>13</v>
      </c>
      <c r="I30" s="5" t="s">
        <v>183</v>
      </c>
      <c r="J30" s="4" t="s">
        <v>145</v>
      </c>
      <c r="K30" s="4">
        <v>90</v>
      </c>
      <c r="L30" s="4">
        <v>0</v>
      </c>
      <c r="M30" s="4">
        <v>0</v>
      </c>
      <c r="N30" s="12">
        <v>7.4</v>
      </c>
    </row>
    <row r="31" spans="1:14" ht="20" customHeight="1">
      <c r="A31" s="4" t="s">
        <v>289</v>
      </c>
      <c r="B31" s="4" t="s">
        <v>290</v>
      </c>
      <c r="C31" s="6" t="s">
        <v>278</v>
      </c>
      <c r="D31" s="5" t="s">
        <v>291</v>
      </c>
      <c r="E31" s="4" t="s">
        <v>292</v>
      </c>
      <c r="F31" s="4" t="s">
        <v>293</v>
      </c>
      <c r="G31" s="4">
        <v>278758</v>
      </c>
      <c r="H31" s="4">
        <v>16</v>
      </c>
      <c r="I31" s="5" t="s">
        <v>198</v>
      </c>
      <c r="J31" s="4" t="s">
        <v>129</v>
      </c>
      <c r="K31" s="4">
        <v>90</v>
      </c>
      <c r="L31" s="4">
        <v>0</v>
      </c>
      <c r="M31" s="4">
        <v>0</v>
      </c>
      <c r="N31" s="12">
        <v>6.5</v>
      </c>
    </row>
    <row r="32" spans="1:14" ht="20" customHeight="1">
      <c r="A32" s="4" t="s">
        <v>289</v>
      </c>
      <c r="B32" s="4" t="s">
        <v>290</v>
      </c>
      <c r="C32" s="6" t="s">
        <v>278</v>
      </c>
      <c r="D32" s="5" t="s">
        <v>291</v>
      </c>
      <c r="E32" s="4" t="s">
        <v>292</v>
      </c>
      <c r="F32" s="4" t="s">
        <v>293</v>
      </c>
      <c r="G32" s="4">
        <v>247500</v>
      </c>
      <c r="H32" s="4">
        <v>12</v>
      </c>
      <c r="I32" s="5" t="s">
        <v>94</v>
      </c>
      <c r="J32" s="4" t="s">
        <v>49</v>
      </c>
      <c r="K32" s="4">
        <v>75</v>
      </c>
      <c r="L32" s="4">
        <v>0</v>
      </c>
      <c r="M32" s="4">
        <v>0</v>
      </c>
      <c r="N32" s="12">
        <v>6.1</v>
      </c>
    </row>
    <row r="33" spans="1:14" ht="20" customHeight="1">
      <c r="A33" s="4" t="s">
        <v>289</v>
      </c>
      <c r="B33" s="4" t="s">
        <v>290</v>
      </c>
      <c r="C33" s="6" t="s">
        <v>278</v>
      </c>
      <c r="D33" s="5" t="s">
        <v>291</v>
      </c>
      <c r="E33" s="4" t="s">
        <v>292</v>
      </c>
      <c r="F33" s="4" t="s">
        <v>293</v>
      </c>
      <c r="G33" s="4">
        <v>79703</v>
      </c>
      <c r="H33" s="4">
        <v>4</v>
      </c>
      <c r="I33" s="5" t="s">
        <v>176</v>
      </c>
      <c r="J33" s="4" t="s">
        <v>284</v>
      </c>
      <c r="K33" s="4">
        <v>15</v>
      </c>
      <c r="L33" s="4">
        <v>0</v>
      </c>
      <c r="M33" s="4">
        <v>0</v>
      </c>
      <c r="N33" s="12">
        <v>6.1</v>
      </c>
    </row>
    <row r="34" spans="1:14" ht="20" customHeight="1">
      <c r="A34" s="4" t="s">
        <v>294</v>
      </c>
      <c r="B34" s="4" t="s">
        <v>295</v>
      </c>
      <c r="C34" s="6" t="s">
        <v>278</v>
      </c>
      <c r="D34" s="5" t="s">
        <v>296</v>
      </c>
      <c r="E34" s="4" t="s">
        <v>280</v>
      </c>
      <c r="F34" s="4" t="s">
        <v>297</v>
      </c>
      <c r="G34" s="4">
        <v>260044</v>
      </c>
      <c r="H34" s="4">
        <v>11</v>
      </c>
      <c r="I34" s="5" t="s">
        <v>81</v>
      </c>
      <c r="J34" s="4" t="s">
        <v>85</v>
      </c>
      <c r="K34" s="4">
        <v>90</v>
      </c>
      <c r="L34" s="13">
        <v>2</v>
      </c>
      <c r="M34" s="4">
        <v>0</v>
      </c>
      <c r="N34" s="12">
        <v>9</v>
      </c>
    </row>
    <row r="35" spans="1:14" ht="20" customHeight="1">
      <c r="A35" s="4" t="s">
        <v>294</v>
      </c>
      <c r="B35" s="4" t="s">
        <v>295</v>
      </c>
      <c r="C35" s="6" t="s">
        <v>278</v>
      </c>
      <c r="D35" s="5" t="s">
        <v>296</v>
      </c>
      <c r="E35" s="4" t="s">
        <v>280</v>
      </c>
      <c r="F35" s="4" t="s">
        <v>297</v>
      </c>
      <c r="G35" s="4">
        <v>276198</v>
      </c>
      <c r="H35" s="4">
        <v>25</v>
      </c>
      <c r="I35" s="5" t="s">
        <v>142</v>
      </c>
      <c r="J35" s="4" t="s">
        <v>145</v>
      </c>
      <c r="K35" s="4">
        <v>90</v>
      </c>
      <c r="L35" s="4">
        <v>0</v>
      </c>
      <c r="M35" s="4">
        <v>0</v>
      </c>
      <c r="N35" s="12">
        <v>7.6</v>
      </c>
    </row>
    <row r="36" spans="1:14" ht="20" customHeight="1">
      <c r="A36" s="4" t="s">
        <v>294</v>
      </c>
      <c r="B36" s="4" t="s">
        <v>295</v>
      </c>
      <c r="C36" s="6" t="s">
        <v>278</v>
      </c>
      <c r="D36" s="5" t="s">
        <v>296</v>
      </c>
      <c r="E36" s="4" t="s">
        <v>280</v>
      </c>
      <c r="F36" s="4" t="s">
        <v>297</v>
      </c>
      <c r="G36" s="4">
        <v>266100</v>
      </c>
      <c r="H36" s="4">
        <v>6</v>
      </c>
      <c r="I36" s="5" t="s">
        <v>59</v>
      </c>
      <c r="J36" s="4" t="s">
        <v>61</v>
      </c>
      <c r="K36" s="4">
        <v>90</v>
      </c>
      <c r="L36" s="13">
        <v>1</v>
      </c>
      <c r="M36" s="13" t="s">
        <v>282</v>
      </c>
      <c r="N36" s="12">
        <v>7.4</v>
      </c>
    </row>
    <row r="37" spans="1:14" ht="20" customHeight="1">
      <c r="A37" s="4" t="s">
        <v>294</v>
      </c>
      <c r="B37" s="4" t="s">
        <v>295</v>
      </c>
      <c r="C37" s="6" t="s">
        <v>278</v>
      </c>
      <c r="D37" s="5" t="s">
        <v>296</v>
      </c>
      <c r="E37" s="4" t="s">
        <v>280</v>
      </c>
      <c r="F37" s="4" t="s">
        <v>297</v>
      </c>
      <c r="G37" s="4">
        <v>247500</v>
      </c>
      <c r="H37" s="4">
        <v>12</v>
      </c>
      <c r="I37" s="5" t="s">
        <v>94</v>
      </c>
      <c r="J37" s="4" t="s">
        <v>49</v>
      </c>
      <c r="K37" s="4">
        <v>90</v>
      </c>
      <c r="L37" s="4">
        <v>0</v>
      </c>
      <c r="M37" s="4">
        <v>0</v>
      </c>
      <c r="N37" s="12">
        <v>6.4</v>
      </c>
    </row>
    <row r="38" spans="1:14" ht="20" customHeight="1">
      <c r="A38" s="4" t="s">
        <v>294</v>
      </c>
      <c r="B38" s="4" t="s">
        <v>295</v>
      </c>
      <c r="C38" s="6" t="s">
        <v>278</v>
      </c>
      <c r="D38" s="5" t="s">
        <v>296</v>
      </c>
      <c r="E38" s="4" t="s">
        <v>280</v>
      </c>
      <c r="F38" s="4" t="s">
        <v>297</v>
      </c>
      <c r="G38" s="4">
        <v>279881</v>
      </c>
      <c r="H38" s="4">
        <v>21</v>
      </c>
      <c r="I38" s="5" t="s">
        <v>134</v>
      </c>
      <c r="J38" s="4" t="s">
        <v>61</v>
      </c>
      <c r="K38" s="4">
        <v>45</v>
      </c>
      <c r="L38" s="4">
        <v>0</v>
      </c>
      <c r="M38" s="13" t="s">
        <v>282</v>
      </c>
      <c r="N38" s="12">
        <v>8.699999999999999</v>
      </c>
    </row>
    <row r="39" spans="1:14" ht="20" customHeight="1">
      <c r="A39" s="4" t="s">
        <v>294</v>
      </c>
      <c r="B39" s="4" t="s">
        <v>295</v>
      </c>
      <c r="C39" s="6" t="s">
        <v>278</v>
      </c>
      <c r="D39" s="5" t="s">
        <v>296</v>
      </c>
      <c r="E39" s="4" t="s">
        <v>280</v>
      </c>
      <c r="F39" s="4" t="s">
        <v>297</v>
      </c>
      <c r="G39" s="4">
        <v>279603</v>
      </c>
      <c r="H39" s="4">
        <v>15</v>
      </c>
      <c r="I39" s="5" t="s">
        <v>102</v>
      </c>
      <c r="J39" s="4" t="s">
        <v>106</v>
      </c>
      <c r="K39" s="4">
        <v>45</v>
      </c>
      <c r="L39" s="4">
        <v>0</v>
      </c>
      <c r="M39" s="13" t="s">
        <v>282</v>
      </c>
      <c r="N39" s="12">
        <v>8.199999999999999</v>
      </c>
    </row>
    <row r="40" spans="1:14" ht="20" customHeight="1">
      <c r="A40" s="4" t="s">
        <v>294</v>
      </c>
      <c r="B40" s="4" t="s">
        <v>295</v>
      </c>
      <c r="C40" s="6" t="s">
        <v>278</v>
      </c>
      <c r="D40" s="5" t="s">
        <v>296</v>
      </c>
      <c r="E40" s="4" t="s">
        <v>280</v>
      </c>
      <c r="F40" s="4" t="s">
        <v>297</v>
      </c>
      <c r="G40" s="4">
        <v>85904</v>
      </c>
      <c r="H40" s="4">
        <v>30</v>
      </c>
      <c r="I40" s="5" t="s">
        <v>254</v>
      </c>
      <c r="J40" s="4" t="s">
        <v>286</v>
      </c>
      <c r="K40" s="4">
        <v>45</v>
      </c>
      <c r="L40" s="4">
        <v>0</v>
      </c>
      <c r="M40" s="13" t="s">
        <v>282</v>
      </c>
      <c r="N40" s="12">
        <v>7.5</v>
      </c>
    </row>
    <row r="41" spans="1:14" ht="20" customHeight="1">
      <c r="A41" s="4" t="s">
        <v>294</v>
      </c>
      <c r="B41" s="4" t="s">
        <v>295</v>
      </c>
      <c r="C41" s="6" t="s">
        <v>278</v>
      </c>
      <c r="D41" s="5" t="s">
        <v>296</v>
      </c>
      <c r="E41" s="4" t="s">
        <v>280</v>
      </c>
      <c r="F41" s="4" t="s">
        <v>297</v>
      </c>
      <c r="G41" s="4">
        <v>263347</v>
      </c>
      <c r="H41" s="4">
        <v>24</v>
      </c>
      <c r="I41" s="5" t="s">
        <v>247</v>
      </c>
      <c r="J41" s="4" t="s">
        <v>298</v>
      </c>
      <c r="K41" s="4">
        <v>45</v>
      </c>
      <c r="L41" s="4">
        <v>0</v>
      </c>
      <c r="M41" s="4">
        <v>0</v>
      </c>
      <c r="N41" s="12">
        <v>7.3</v>
      </c>
    </row>
    <row r="42" spans="1:14" ht="20" customHeight="1">
      <c r="A42" s="4" t="s">
        <v>294</v>
      </c>
      <c r="B42" s="4" t="s">
        <v>295</v>
      </c>
      <c r="C42" s="6" t="s">
        <v>278</v>
      </c>
      <c r="D42" s="5" t="s">
        <v>296</v>
      </c>
      <c r="E42" s="4" t="s">
        <v>280</v>
      </c>
      <c r="F42" s="4" t="s">
        <v>297</v>
      </c>
      <c r="G42" s="4">
        <v>75437</v>
      </c>
      <c r="H42" s="4">
        <v>29</v>
      </c>
      <c r="I42" s="5" t="s">
        <v>152</v>
      </c>
      <c r="J42" s="4" t="s">
        <v>156</v>
      </c>
      <c r="K42" s="4">
        <v>45</v>
      </c>
      <c r="L42" s="4">
        <v>0</v>
      </c>
      <c r="M42" s="4">
        <v>0</v>
      </c>
      <c r="N42" s="12">
        <v>7.2</v>
      </c>
    </row>
    <row r="43" spans="1:14" ht="20" customHeight="1">
      <c r="A43" s="4" t="s">
        <v>294</v>
      </c>
      <c r="B43" s="4" t="s">
        <v>295</v>
      </c>
      <c r="C43" s="6" t="s">
        <v>278</v>
      </c>
      <c r="D43" s="5" t="s">
        <v>296</v>
      </c>
      <c r="E43" s="4" t="s">
        <v>280</v>
      </c>
      <c r="F43" s="4" t="s">
        <v>297</v>
      </c>
      <c r="G43" s="4">
        <v>277311</v>
      </c>
      <c r="H43" s="4">
        <v>10</v>
      </c>
      <c r="I43" s="5" t="s">
        <v>222</v>
      </c>
      <c r="J43" s="4" t="s">
        <v>61</v>
      </c>
      <c r="K43" s="4">
        <v>45</v>
      </c>
      <c r="L43" s="4">
        <v>0</v>
      </c>
      <c r="M43" s="4">
        <v>0</v>
      </c>
      <c r="N43" s="12">
        <v>7.1</v>
      </c>
    </row>
    <row r="44" spans="1:14" ht="20" customHeight="1">
      <c r="A44" s="4" t="s">
        <v>294</v>
      </c>
      <c r="B44" s="4" t="s">
        <v>295</v>
      </c>
      <c r="C44" s="6" t="s">
        <v>278</v>
      </c>
      <c r="D44" s="5" t="s">
        <v>296</v>
      </c>
      <c r="E44" s="4" t="s">
        <v>280</v>
      </c>
      <c r="F44" s="4" t="s">
        <v>297</v>
      </c>
      <c r="G44" s="4">
        <v>241505</v>
      </c>
      <c r="H44" s="4">
        <v>17</v>
      </c>
      <c r="I44" s="5" t="s">
        <v>114</v>
      </c>
      <c r="J44" s="4" t="s">
        <v>117</v>
      </c>
      <c r="K44" s="4">
        <v>45</v>
      </c>
      <c r="L44" s="4">
        <v>0</v>
      </c>
      <c r="M44" s="4">
        <v>0</v>
      </c>
      <c r="N44" s="12">
        <v>6.8</v>
      </c>
    </row>
    <row r="45" spans="1:14" ht="20" customHeight="1">
      <c r="A45" s="4" t="s">
        <v>294</v>
      </c>
      <c r="B45" s="4" t="s">
        <v>295</v>
      </c>
      <c r="C45" s="6" t="s">
        <v>278</v>
      </c>
      <c r="D45" s="5" t="s">
        <v>296</v>
      </c>
      <c r="E45" s="4" t="s">
        <v>280</v>
      </c>
      <c r="F45" s="4" t="s">
        <v>297</v>
      </c>
      <c r="G45" s="4">
        <v>263006</v>
      </c>
      <c r="H45" s="4">
        <v>19</v>
      </c>
      <c r="I45" s="5" t="s">
        <v>124</v>
      </c>
      <c r="J45" s="4" t="s">
        <v>128</v>
      </c>
      <c r="K45" s="4">
        <v>45</v>
      </c>
      <c r="L45" s="4">
        <v>0</v>
      </c>
      <c r="M45" s="4">
        <v>0</v>
      </c>
      <c r="N45" s="12">
        <v>6.8</v>
      </c>
    </row>
    <row r="46" spans="1:14" ht="20" customHeight="1">
      <c r="A46" s="4" t="s">
        <v>294</v>
      </c>
      <c r="B46" s="4" t="s">
        <v>295</v>
      </c>
      <c r="C46" s="6" t="s">
        <v>278</v>
      </c>
      <c r="D46" s="5" t="s">
        <v>296</v>
      </c>
      <c r="E46" s="4" t="s">
        <v>280</v>
      </c>
      <c r="F46" s="4" t="s">
        <v>297</v>
      </c>
      <c r="G46" s="4">
        <v>262498</v>
      </c>
      <c r="H46" s="4">
        <v>2</v>
      </c>
      <c r="I46" s="5" t="s">
        <v>162</v>
      </c>
      <c r="J46" s="4" t="s">
        <v>285</v>
      </c>
      <c r="K46" s="4">
        <v>45</v>
      </c>
      <c r="L46" s="4">
        <v>0</v>
      </c>
      <c r="M46" s="4">
        <v>0</v>
      </c>
      <c r="N46" s="12">
        <v>6.8</v>
      </c>
    </row>
    <row r="47" spans="1:14" ht="20" customHeight="1">
      <c r="A47" s="4" t="s">
        <v>294</v>
      </c>
      <c r="B47" s="4" t="s">
        <v>295</v>
      </c>
      <c r="C47" s="6" t="s">
        <v>278</v>
      </c>
      <c r="D47" s="5" t="s">
        <v>296</v>
      </c>
      <c r="E47" s="4" t="s">
        <v>280</v>
      </c>
      <c r="F47" s="4" t="s">
        <v>297</v>
      </c>
      <c r="G47" s="4">
        <v>79703</v>
      </c>
      <c r="H47" s="4">
        <v>4</v>
      </c>
      <c r="I47" s="5" t="s">
        <v>176</v>
      </c>
      <c r="J47" s="4" t="s">
        <v>284</v>
      </c>
      <c r="K47" s="4">
        <v>45</v>
      </c>
      <c r="L47" s="4">
        <v>0</v>
      </c>
      <c r="M47" s="4">
        <v>0</v>
      </c>
      <c r="N47" s="12">
        <v>6.5</v>
      </c>
    </row>
    <row r="48" spans="1:14" ht="20" customHeight="1">
      <c r="A48" s="4" t="s">
        <v>294</v>
      </c>
      <c r="B48" s="4" t="s">
        <v>295</v>
      </c>
      <c r="C48" s="6" t="s">
        <v>278</v>
      </c>
      <c r="D48" s="5" t="s">
        <v>296</v>
      </c>
      <c r="E48" s="4" t="s">
        <v>280</v>
      </c>
      <c r="F48" s="4" t="s">
        <v>297</v>
      </c>
      <c r="G48" s="4">
        <v>245704</v>
      </c>
      <c r="H48" s="4">
        <v>20</v>
      </c>
      <c r="I48" s="5" t="s">
        <v>205</v>
      </c>
      <c r="J48" s="4" t="s">
        <v>283</v>
      </c>
      <c r="K48" s="4">
        <v>45</v>
      </c>
      <c r="L48" s="4">
        <v>0</v>
      </c>
      <c r="M48" s="4">
        <v>0</v>
      </c>
      <c r="N48" s="12">
        <v>6.5</v>
      </c>
    </row>
    <row r="49" spans="1:14" ht="20" customHeight="1">
      <c r="A49" s="4" t="s">
        <v>294</v>
      </c>
      <c r="B49" s="4" t="s">
        <v>295</v>
      </c>
      <c r="C49" s="6" t="s">
        <v>278</v>
      </c>
      <c r="D49" s="5" t="s">
        <v>296</v>
      </c>
      <c r="E49" s="4" t="s">
        <v>280</v>
      </c>
      <c r="F49" s="4" t="s">
        <v>297</v>
      </c>
      <c r="G49" s="4">
        <v>271955</v>
      </c>
      <c r="H49" s="4">
        <v>5</v>
      </c>
      <c r="I49" s="5" t="s">
        <v>44</v>
      </c>
      <c r="J49" s="4" t="s">
        <v>49</v>
      </c>
      <c r="K49" s="4">
        <v>45</v>
      </c>
      <c r="L49" s="4">
        <v>0</v>
      </c>
      <c r="M49" s="4">
        <v>0</v>
      </c>
      <c r="N49" s="12">
        <v>6.1</v>
      </c>
    </row>
    <row r="50" spans="1:14" ht="20" customHeight="1">
      <c r="A50" s="4" t="s">
        <v>294</v>
      </c>
      <c r="B50" s="4" t="s">
        <v>295</v>
      </c>
      <c r="C50" s="6" t="s">
        <v>278</v>
      </c>
      <c r="D50" s="5" t="s">
        <v>296</v>
      </c>
      <c r="E50" s="4" t="s">
        <v>280</v>
      </c>
      <c r="F50" s="4" t="s">
        <v>297</v>
      </c>
      <c r="G50" s="4">
        <v>274828</v>
      </c>
      <c r="H50" s="4">
        <v>7</v>
      </c>
      <c r="I50" s="5" t="s">
        <v>213</v>
      </c>
      <c r="J50" s="4" t="s">
        <v>288</v>
      </c>
      <c r="K50" s="4">
        <v>45</v>
      </c>
      <c r="L50" s="4">
        <v>0</v>
      </c>
      <c r="M50" s="4">
        <v>0</v>
      </c>
      <c r="N50" s="12">
        <v>6.1</v>
      </c>
    </row>
    <row r="51" spans="1:14" ht="20" customHeight="1">
      <c r="A51" s="4" t="s">
        <v>294</v>
      </c>
      <c r="B51" s="4" t="s">
        <v>295</v>
      </c>
      <c r="C51" s="6" t="s">
        <v>278</v>
      </c>
      <c r="D51" s="5" t="s">
        <v>296</v>
      </c>
      <c r="E51" s="4" t="s">
        <v>280</v>
      </c>
      <c r="F51" s="4" t="s">
        <v>297</v>
      </c>
      <c r="G51" s="4">
        <v>273022</v>
      </c>
      <c r="H51" s="4">
        <v>3</v>
      </c>
      <c r="I51" s="5" t="s">
        <v>170</v>
      </c>
      <c r="J51" s="4" t="s">
        <v>299</v>
      </c>
      <c r="K51" s="4">
        <v>45</v>
      </c>
      <c r="L51" s="4">
        <v>0</v>
      </c>
      <c r="M51" s="4">
        <v>0</v>
      </c>
      <c r="N51" s="12">
        <v>5.8</v>
      </c>
    </row>
    <row r="52" spans="1:14" ht="20" customHeight="1">
      <c r="A52" s="4" t="s">
        <v>300</v>
      </c>
      <c r="B52" s="4" t="s">
        <v>301</v>
      </c>
      <c r="C52" s="6" t="s">
        <v>302</v>
      </c>
      <c r="D52" s="5" t="s">
        <v>303</v>
      </c>
      <c r="E52" s="4" t="s">
        <v>292</v>
      </c>
      <c r="F52" s="4" t="s">
        <v>293</v>
      </c>
      <c r="G52" s="4">
        <v>276198</v>
      </c>
      <c r="H52" s="4">
        <v>25</v>
      </c>
      <c r="I52" s="5" t="s">
        <v>142</v>
      </c>
      <c r="J52" s="4" t="s">
        <v>145</v>
      </c>
      <c r="K52" s="4">
        <v>90</v>
      </c>
      <c r="L52" s="4">
        <v>0</v>
      </c>
      <c r="M52" s="4">
        <v>0</v>
      </c>
      <c r="N52" s="12">
        <v>7.9</v>
      </c>
    </row>
    <row r="53" spans="1:14" ht="20" customHeight="1">
      <c r="A53" s="4" t="s">
        <v>300</v>
      </c>
      <c r="B53" s="4" t="s">
        <v>301</v>
      </c>
      <c r="C53" s="6" t="s">
        <v>302</v>
      </c>
      <c r="D53" s="5" t="s">
        <v>303</v>
      </c>
      <c r="E53" s="4" t="s">
        <v>292</v>
      </c>
      <c r="F53" s="4" t="s">
        <v>293</v>
      </c>
      <c r="G53" s="4">
        <v>271955</v>
      </c>
      <c r="H53" s="4">
        <v>5</v>
      </c>
      <c r="I53" s="5" t="s">
        <v>44</v>
      </c>
      <c r="J53" s="4" t="s">
        <v>49</v>
      </c>
      <c r="K53" s="4">
        <v>90</v>
      </c>
      <c r="L53" s="4">
        <v>0</v>
      </c>
      <c r="M53" s="4">
        <v>0</v>
      </c>
      <c r="N53" s="12">
        <v>7.4</v>
      </c>
    </row>
    <row r="54" spans="1:14" ht="20" customHeight="1">
      <c r="A54" s="4" t="s">
        <v>300</v>
      </c>
      <c r="B54" s="4" t="s">
        <v>301</v>
      </c>
      <c r="C54" s="6" t="s">
        <v>302</v>
      </c>
      <c r="D54" s="5" t="s">
        <v>303</v>
      </c>
      <c r="E54" s="4" t="s">
        <v>292</v>
      </c>
      <c r="F54" s="4" t="s">
        <v>293</v>
      </c>
      <c r="G54" s="4">
        <v>263006</v>
      </c>
      <c r="H54" s="4">
        <v>19</v>
      </c>
      <c r="I54" s="5" t="s">
        <v>124</v>
      </c>
      <c r="J54" s="4" t="s">
        <v>128</v>
      </c>
      <c r="K54" s="4">
        <v>90</v>
      </c>
      <c r="L54" s="4">
        <v>0</v>
      </c>
      <c r="M54" s="13" t="s">
        <v>282</v>
      </c>
      <c r="N54" s="12">
        <v>7.4</v>
      </c>
    </row>
    <row r="55" spans="1:14" ht="20" customHeight="1">
      <c r="A55" s="4" t="s">
        <v>300</v>
      </c>
      <c r="B55" s="4" t="s">
        <v>301</v>
      </c>
      <c r="C55" s="6" t="s">
        <v>302</v>
      </c>
      <c r="D55" s="5" t="s">
        <v>303</v>
      </c>
      <c r="E55" s="4" t="s">
        <v>292</v>
      </c>
      <c r="F55" s="4" t="s">
        <v>293</v>
      </c>
      <c r="G55" s="4">
        <v>247500</v>
      </c>
      <c r="H55" s="4">
        <v>12</v>
      </c>
      <c r="I55" s="5" t="s">
        <v>94</v>
      </c>
      <c r="J55" s="4" t="s">
        <v>49</v>
      </c>
      <c r="K55" s="4">
        <v>90</v>
      </c>
      <c r="L55" s="4">
        <v>0</v>
      </c>
      <c r="M55" s="4">
        <v>0</v>
      </c>
      <c r="N55" s="12">
        <v>7.2</v>
      </c>
    </row>
    <row r="56" spans="1:14" ht="20" customHeight="1">
      <c r="A56" s="4" t="s">
        <v>300</v>
      </c>
      <c r="B56" s="4" t="s">
        <v>301</v>
      </c>
      <c r="C56" s="6" t="s">
        <v>302</v>
      </c>
      <c r="D56" s="5" t="s">
        <v>303</v>
      </c>
      <c r="E56" s="4" t="s">
        <v>292</v>
      </c>
      <c r="F56" s="4" t="s">
        <v>293</v>
      </c>
      <c r="G56" s="4">
        <v>266100</v>
      </c>
      <c r="H56" s="4">
        <v>6</v>
      </c>
      <c r="I56" s="5" t="s">
        <v>59</v>
      </c>
      <c r="J56" s="4" t="s">
        <v>61</v>
      </c>
      <c r="K56" s="4">
        <v>90</v>
      </c>
      <c r="L56" s="4">
        <v>0</v>
      </c>
      <c r="M56" s="4">
        <v>0</v>
      </c>
      <c r="N56" s="12">
        <v>7</v>
      </c>
    </row>
    <row r="57" spans="1:14" ht="20" customHeight="1">
      <c r="A57" s="4" t="s">
        <v>300</v>
      </c>
      <c r="B57" s="4" t="s">
        <v>301</v>
      </c>
      <c r="C57" s="6" t="s">
        <v>302</v>
      </c>
      <c r="D57" s="5" t="s">
        <v>303</v>
      </c>
      <c r="E57" s="4" t="s">
        <v>292</v>
      </c>
      <c r="F57" s="4" t="s">
        <v>293</v>
      </c>
      <c r="G57" s="4">
        <v>245704</v>
      </c>
      <c r="H57" s="4">
        <v>20</v>
      </c>
      <c r="I57" s="5" t="s">
        <v>205</v>
      </c>
      <c r="J57" s="4" t="s">
        <v>128</v>
      </c>
      <c r="K57" s="4">
        <v>90</v>
      </c>
      <c r="L57" s="4">
        <v>0</v>
      </c>
      <c r="M57" s="4">
        <v>0</v>
      </c>
      <c r="N57" s="12">
        <v>6.1</v>
      </c>
    </row>
    <row r="58" spans="1:14" ht="20" customHeight="1">
      <c r="A58" s="4" t="s">
        <v>300</v>
      </c>
      <c r="B58" s="4" t="s">
        <v>301</v>
      </c>
      <c r="C58" s="6" t="s">
        <v>302</v>
      </c>
      <c r="D58" s="5" t="s">
        <v>303</v>
      </c>
      <c r="E58" s="4" t="s">
        <v>292</v>
      </c>
      <c r="F58" s="4" t="s">
        <v>293</v>
      </c>
      <c r="G58" s="4">
        <v>279881</v>
      </c>
      <c r="H58" s="4">
        <v>21</v>
      </c>
      <c r="I58" s="5" t="s">
        <v>134</v>
      </c>
      <c r="J58" s="4" t="s">
        <v>61</v>
      </c>
      <c r="K58" s="4">
        <v>60</v>
      </c>
      <c r="L58" s="4">
        <v>0</v>
      </c>
      <c r="M58" s="13" t="s">
        <v>282</v>
      </c>
      <c r="N58" s="12">
        <v>9.699999999999999</v>
      </c>
    </row>
    <row r="59" spans="1:14" ht="20" customHeight="1">
      <c r="A59" s="4" t="s">
        <v>300</v>
      </c>
      <c r="B59" s="4" t="s">
        <v>301</v>
      </c>
      <c r="C59" s="6" t="s">
        <v>302</v>
      </c>
      <c r="D59" s="5" t="s">
        <v>303</v>
      </c>
      <c r="E59" s="4" t="s">
        <v>292</v>
      </c>
      <c r="F59" s="4" t="s">
        <v>293</v>
      </c>
      <c r="G59" s="4">
        <v>75437</v>
      </c>
      <c r="H59" s="4">
        <v>29</v>
      </c>
      <c r="I59" s="5" t="s">
        <v>152</v>
      </c>
      <c r="J59" s="4" t="s">
        <v>156</v>
      </c>
      <c r="K59" s="4">
        <v>60</v>
      </c>
      <c r="L59" s="13">
        <v>1</v>
      </c>
      <c r="M59" s="4">
        <v>0</v>
      </c>
      <c r="N59" s="12">
        <v>7.2</v>
      </c>
    </row>
    <row r="60" spans="1:14" ht="20" customHeight="1">
      <c r="A60" s="4" t="s">
        <v>300</v>
      </c>
      <c r="B60" s="4" t="s">
        <v>301</v>
      </c>
      <c r="C60" s="6" t="s">
        <v>302</v>
      </c>
      <c r="D60" s="5" t="s">
        <v>303</v>
      </c>
      <c r="E60" s="4" t="s">
        <v>292</v>
      </c>
      <c r="F60" s="4" t="s">
        <v>293</v>
      </c>
      <c r="G60" s="4">
        <v>275520</v>
      </c>
      <c r="H60" s="4">
        <v>8</v>
      </c>
      <c r="I60" s="5" t="s">
        <v>70</v>
      </c>
      <c r="J60" s="4" t="s">
        <v>61</v>
      </c>
      <c r="K60" s="4">
        <v>60</v>
      </c>
      <c r="L60" s="4">
        <v>0</v>
      </c>
      <c r="M60" s="4">
        <v>0</v>
      </c>
      <c r="N60" s="12">
        <v>6.4</v>
      </c>
    </row>
    <row r="61" spans="1:14" ht="20" customHeight="1">
      <c r="A61" s="4" t="s">
        <v>300</v>
      </c>
      <c r="B61" s="4" t="s">
        <v>301</v>
      </c>
      <c r="C61" s="6" t="s">
        <v>302</v>
      </c>
      <c r="D61" s="5" t="s">
        <v>303</v>
      </c>
      <c r="E61" s="4" t="s">
        <v>292</v>
      </c>
      <c r="F61" s="4" t="s">
        <v>293</v>
      </c>
      <c r="G61" s="4">
        <v>260044</v>
      </c>
      <c r="H61" s="4">
        <v>11</v>
      </c>
      <c r="I61" s="5" t="s">
        <v>81</v>
      </c>
      <c r="J61" s="4" t="s">
        <v>85</v>
      </c>
      <c r="K61" s="4">
        <v>60</v>
      </c>
      <c r="L61" s="4">
        <v>0</v>
      </c>
      <c r="M61" s="4">
        <v>0</v>
      </c>
      <c r="N61" s="12">
        <v>5.6</v>
      </c>
    </row>
    <row r="62" spans="1:14" ht="20" customHeight="1">
      <c r="A62" s="4" t="s">
        <v>300</v>
      </c>
      <c r="B62" s="4" t="s">
        <v>301</v>
      </c>
      <c r="C62" s="6" t="s">
        <v>302</v>
      </c>
      <c r="D62" s="5" t="s">
        <v>303</v>
      </c>
      <c r="E62" s="4" t="s">
        <v>292</v>
      </c>
      <c r="F62" s="4" t="s">
        <v>293</v>
      </c>
      <c r="G62" s="4">
        <v>263347</v>
      </c>
      <c r="H62" s="4">
        <v>24</v>
      </c>
      <c r="I62" s="5" t="s">
        <v>247</v>
      </c>
      <c r="J62" s="4" t="s">
        <v>249</v>
      </c>
      <c r="K62" s="4">
        <v>60</v>
      </c>
      <c r="L62" s="4">
        <v>0</v>
      </c>
      <c r="M62" s="4">
        <v>0</v>
      </c>
      <c r="N62" s="12">
        <v>5.5</v>
      </c>
    </row>
    <row r="63" spans="1:14" ht="20" customHeight="1">
      <c r="A63" s="4" t="s">
        <v>300</v>
      </c>
      <c r="B63" s="4" t="s">
        <v>301</v>
      </c>
      <c r="C63" s="6" t="s">
        <v>302</v>
      </c>
      <c r="D63" s="5" t="s">
        <v>303</v>
      </c>
      <c r="E63" s="4" t="s">
        <v>292</v>
      </c>
      <c r="F63" s="4" t="s">
        <v>293</v>
      </c>
      <c r="G63" s="4">
        <v>273022</v>
      </c>
      <c r="H63" s="4">
        <v>3</v>
      </c>
      <c r="I63" s="5" t="s">
        <v>170</v>
      </c>
      <c r="J63" s="4" t="s">
        <v>299</v>
      </c>
      <c r="K63" s="4">
        <v>30</v>
      </c>
      <c r="L63" s="4">
        <v>0</v>
      </c>
      <c r="M63" s="13" t="s">
        <v>282</v>
      </c>
      <c r="N63" s="12">
        <v>7.5</v>
      </c>
    </row>
    <row r="64" spans="1:14" ht="20" customHeight="1">
      <c r="A64" s="4" t="s">
        <v>300</v>
      </c>
      <c r="B64" s="4" t="s">
        <v>301</v>
      </c>
      <c r="C64" s="6" t="s">
        <v>302</v>
      </c>
      <c r="D64" s="5" t="s">
        <v>303</v>
      </c>
      <c r="E64" s="4" t="s">
        <v>292</v>
      </c>
      <c r="F64" s="4" t="s">
        <v>293</v>
      </c>
      <c r="G64" s="4">
        <v>236393</v>
      </c>
      <c r="H64" s="4">
        <v>22</v>
      </c>
      <c r="I64" s="5" t="s">
        <v>234</v>
      </c>
      <c r="J64" s="4" t="s">
        <v>304</v>
      </c>
      <c r="K64" s="4">
        <v>30</v>
      </c>
      <c r="L64" s="13">
        <v>1</v>
      </c>
      <c r="M64" s="4">
        <v>0</v>
      </c>
      <c r="N64" s="12">
        <v>6.9</v>
      </c>
    </row>
    <row r="65" spans="1:14" ht="20" customHeight="1">
      <c r="A65" s="4" t="s">
        <v>300</v>
      </c>
      <c r="B65" s="4" t="s">
        <v>301</v>
      </c>
      <c r="C65" s="6" t="s">
        <v>302</v>
      </c>
      <c r="D65" s="5" t="s">
        <v>303</v>
      </c>
      <c r="E65" s="4" t="s">
        <v>292</v>
      </c>
      <c r="F65" s="4" t="s">
        <v>293</v>
      </c>
      <c r="G65" s="4">
        <v>278758</v>
      </c>
      <c r="H65" s="4">
        <v>16</v>
      </c>
      <c r="I65" s="5" t="s">
        <v>198</v>
      </c>
      <c r="J65" s="4" t="s">
        <v>287</v>
      </c>
      <c r="K65" s="4">
        <v>30</v>
      </c>
      <c r="L65" s="4">
        <v>0</v>
      </c>
      <c r="M65" s="13" t="s">
        <v>282</v>
      </c>
      <c r="N65" s="12">
        <v>6.6</v>
      </c>
    </row>
    <row r="66" spans="1:14" ht="20" customHeight="1">
      <c r="A66" s="4" t="s">
        <v>300</v>
      </c>
      <c r="B66" s="4" t="s">
        <v>301</v>
      </c>
      <c r="C66" s="6" t="s">
        <v>302</v>
      </c>
      <c r="D66" s="5" t="s">
        <v>303</v>
      </c>
      <c r="E66" s="4" t="s">
        <v>292</v>
      </c>
      <c r="F66" s="4" t="s">
        <v>293</v>
      </c>
      <c r="G66" s="4">
        <v>79752</v>
      </c>
      <c r="H66" s="4">
        <v>18</v>
      </c>
      <c r="I66" s="5" t="s">
        <v>228</v>
      </c>
      <c r="J66" s="4" t="s">
        <v>286</v>
      </c>
      <c r="K66" s="4">
        <v>30</v>
      </c>
      <c r="L66" s="4">
        <v>0</v>
      </c>
      <c r="M66" s="4">
        <v>0</v>
      </c>
      <c r="N66" s="12">
        <v>6.4</v>
      </c>
    </row>
    <row r="67" spans="1:14" ht="20" customHeight="1">
      <c r="A67" s="4" t="s">
        <v>300</v>
      </c>
      <c r="B67" s="4" t="s">
        <v>301</v>
      </c>
      <c r="C67" s="6" t="s">
        <v>302</v>
      </c>
      <c r="D67" s="5" t="s">
        <v>303</v>
      </c>
      <c r="E67" s="4" t="s">
        <v>292</v>
      </c>
      <c r="F67" s="4" t="s">
        <v>293</v>
      </c>
      <c r="G67" s="4">
        <v>277311</v>
      </c>
      <c r="H67" s="4">
        <v>10</v>
      </c>
      <c r="I67" s="5" t="s">
        <v>222</v>
      </c>
      <c r="J67" s="4" t="s">
        <v>286</v>
      </c>
      <c r="K67" s="4">
        <v>30</v>
      </c>
      <c r="L67" s="4">
        <v>0</v>
      </c>
      <c r="M67" s="4">
        <v>0</v>
      </c>
      <c r="N67" s="12">
        <v>6.2</v>
      </c>
    </row>
    <row r="68" spans="1:14" ht="20" customHeight="1">
      <c r="A68" s="4" t="s">
        <v>305</v>
      </c>
      <c r="B68" s="4" t="s">
        <v>306</v>
      </c>
      <c r="C68" s="6" t="s">
        <v>302</v>
      </c>
      <c r="D68" s="5" t="s">
        <v>307</v>
      </c>
      <c r="E68" s="4" t="s">
        <v>292</v>
      </c>
      <c r="F68" s="4" t="s">
        <v>308</v>
      </c>
      <c r="G68" s="4">
        <v>273022</v>
      </c>
      <c r="H68" s="4">
        <v>3</v>
      </c>
      <c r="I68" s="5" t="s">
        <v>170</v>
      </c>
      <c r="J68" s="4" t="s">
        <v>107</v>
      </c>
      <c r="K68" s="4">
        <v>90</v>
      </c>
      <c r="L68" s="13">
        <v>2</v>
      </c>
      <c r="M68" s="13" t="s">
        <v>282</v>
      </c>
      <c r="N68" s="12">
        <v>10</v>
      </c>
    </row>
    <row r="69" spans="1:14" ht="20" customHeight="1">
      <c r="A69" s="4" t="s">
        <v>305</v>
      </c>
      <c r="B69" s="4" t="s">
        <v>306</v>
      </c>
      <c r="C69" s="6" t="s">
        <v>302</v>
      </c>
      <c r="D69" s="5" t="s">
        <v>307</v>
      </c>
      <c r="E69" s="4" t="s">
        <v>292</v>
      </c>
      <c r="F69" s="4" t="s">
        <v>308</v>
      </c>
      <c r="G69" s="4">
        <v>236393</v>
      </c>
      <c r="H69" s="4">
        <v>22</v>
      </c>
      <c r="I69" s="5" t="s">
        <v>234</v>
      </c>
      <c r="J69" s="4" t="s">
        <v>85</v>
      </c>
      <c r="K69" s="4">
        <v>90</v>
      </c>
      <c r="L69" s="13">
        <v>3</v>
      </c>
      <c r="M69" s="4">
        <v>0</v>
      </c>
      <c r="N69" s="12">
        <v>10</v>
      </c>
    </row>
    <row r="70" spans="1:14" ht="20" customHeight="1">
      <c r="A70" s="4" t="s">
        <v>305</v>
      </c>
      <c r="B70" s="4" t="s">
        <v>306</v>
      </c>
      <c r="C70" s="6" t="s">
        <v>302</v>
      </c>
      <c r="D70" s="5" t="s">
        <v>307</v>
      </c>
      <c r="E70" s="4" t="s">
        <v>292</v>
      </c>
      <c r="F70" s="4" t="s">
        <v>308</v>
      </c>
      <c r="G70" s="4">
        <v>279881</v>
      </c>
      <c r="H70" s="4">
        <v>21</v>
      </c>
      <c r="I70" s="5" t="s">
        <v>134</v>
      </c>
      <c r="J70" s="4" t="s">
        <v>61</v>
      </c>
      <c r="K70" s="4">
        <v>90</v>
      </c>
      <c r="L70" s="4">
        <v>0</v>
      </c>
      <c r="M70" s="13" t="s">
        <v>282</v>
      </c>
      <c r="N70" s="12">
        <v>9.699999999999999</v>
      </c>
    </row>
    <row r="71" spans="1:14" ht="20" customHeight="1">
      <c r="A71" s="4" t="s">
        <v>305</v>
      </c>
      <c r="B71" s="4" t="s">
        <v>306</v>
      </c>
      <c r="C71" s="6" t="s">
        <v>302</v>
      </c>
      <c r="D71" s="5" t="s">
        <v>307</v>
      </c>
      <c r="E71" s="4" t="s">
        <v>292</v>
      </c>
      <c r="F71" s="4" t="s">
        <v>308</v>
      </c>
      <c r="G71" s="4">
        <v>228707</v>
      </c>
      <c r="H71" s="4">
        <v>23</v>
      </c>
      <c r="I71" s="5" t="s">
        <v>240</v>
      </c>
      <c r="J71" s="4" t="s">
        <v>49</v>
      </c>
      <c r="K71" s="4">
        <v>90</v>
      </c>
      <c r="L71" s="4">
        <v>0</v>
      </c>
      <c r="M71" s="4">
        <v>0</v>
      </c>
      <c r="N71" s="12">
        <v>8.5</v>
      </c>
    </row>
    <row r="72" spans="1:14" ht="20" customHeight="1">
      <c r="A72" s="4" t="s">
        <v>305</v>
      </c>
      <c r="B72" s="4" t="s">
        <v>306</v>
      </c>
      <c r="C72" s="6" t="s">
        <v>302</v>
      </c>
      <c r="D72" s="5" t="s">
        <v>307</v>
      </c>
      <c r="E72" s="4" t="s">
        <v>292</v>
      </c>
      <c r="F72" s="4" t="s">
        <v>308</v>
      </c>
      <c r="G72" s="4">
        <v>245704</v>
      </c>
      <c r="H72" s="4">
        <v>20</v>
      </c>
      <c r="I72" s="5" t="s">
        <v>205</v>
      </c>
      <c r="J72" s="4" t="s">
        <v>128</v>
      </c>
      <c r="K72" s="4">
        <v>90</v>
      </c>
      <c r="L72" s="4">
        <v>0</v>
      </c>
      <c r="M72" s="4">
        <v>0</v>
      </c>
      <c r="N72" s="12">
        <v>8.300000000000001</v>
      </c>
    </row>
    <row r="73" spans="1:14" ht="20" customHeight="1">
      <c r="A73" s="4" t="s">
        <v>305</v>
      </c>
      <c r="B73" s="4" t="s">
        <v>306</v>
      </c>
      <c r="C73" s="6" t="s">
        <v>302</v>
      </c>
      <c r="D73" s="5" t="s">
        <v>307</v>
      </c>
      <c r="E73" s="4" t="s">
        <v>292</v>
      </c>
      <c r="F73" s="4" t="s">
        <v>308</v>
      </c>
      <c r="G73" s="4">
        <v>266100</v>
      </c>
      <c r="H73" s="4">
        <v>6</v>
      </c>
      <c r="I73" s="5" t="s">
        <v>59</v>
      </c>
      <c r="J73" s="4" t="s">
        <v>61</v>
      </c>
      <c r="K73" s="4">
        <v>90</v>
      </c>
      <c r="L73" s="4">
        <v>0</v>
      </c>
      <c r="M73" s="4">
        <v>0</v>
      </c>
      <c r="N73" s="12">
        <v>8.199999999999999</v>
      </c>
    </row>
    <row r="74" spans="1:14" ht="20" customHeight="1">
      <c r="A74" s="4" t="s">
        <v>305</v>
      </c>
      <c r="B74" s="4" t="s">
        <v>306</v>
      </c>
      <c r="C74" s="6" t="s">
        <v>302</v>
      </c>
      <c r="D74" s="5" t="s">
        <v>307</v>
      </c>
      <c r="E74" s="4" t="s">
        <v>292</v>
      </c>
      <c r="F74" s="4" t="s">
        <v>308</v>
      </c>
      <c r="G74" s="4">
        <v>278758</v>
      </c>
      <c r="H74" s="4">
        <v>16</v>
      </c>
      <c r="I74" s="5" t="s">
        <v>198</v>
      </c>
      <c r="J74" s="4" t="s">
        <v>129</v>
      </c>
      <c r="K74" s="4">
        <v>90</v>
      </c>
      <c r="L74" s="4">
        <v>0</v>
      </c>
      <c r="M74" s="13" t="s">
        <v>282</v>
      </c>
      <c r="N74" s="12">
        <v>8.199999999999999</v>
      </c>
    </row>
    <row r="75" spans="1:14" ht="20" customHeight="1">
      <c r="A75" s="4" t="s">
        <v>305</v>
      </c>
      <c r="B75" s="4" t="s">
        <v>306</v>
      </c>
      <c r="C75" s="6" t="s">
        <v>302</v>
      </c>
      <c r="D75" s="5" t="s">
        <v>307</v>
      </c>
      <c r="E75" s="4" t="s">
        <v>292</v>
      </c>
      <c r="F75" s="4" t="s">
        <v>308</v>
      </c>
      <c r="G75" s="4">
        <v>262498</v>
      </c>
      <c r="H75" s="4">
        <v>2</v>
      </c>
      <c r="I75" s="5" t="s">
        <v>162</v>
      </c>
      <c r="J75" s="4" t="s">
        <v>117</v>
      </c>
      <c r="K75" s="4">
        <v>90</v>
      </c>
      <c r="L75" s="4">
        <v>0</v>
      </c>
      <c r="M75" s="4">
        <v>0</v>
      </c>
      <c r="N75" s="12">
        <v>8.1</v>
      </c>
    </row>
    <row r="76" spans="1:14" ht="20" customHeight="1">
      <c r="A76" s="4" t="s">
        <v>305</v>
      </c>
      <c r="B76" s="4" t="s">
        <v>306</v>
      </c>
      <c r="C76" s="6" t="s">
        <v>302</v>
      </c>
      <c r="D76" s="5" t="s">
        <v>307</v>
      </c>
      <c r="E76" s="4" t="s">
        <v>292</v>
      </c>
      <c r="F76" s="4" t="s">
        <v>308</v>
      </c>
      <c r="G76" s="4">
        <v>230134</v>
      </c>
      <c r="H76" s="4">
        <v>14</v>
      </c>
      <c r="I76" s="5" t="s">
        <v>190</v>
      </c>
      <c r="J76" s="4" t="s">
        <v>61</v>
      </c>
      <c r="K76" s="4">
        <v>90</v>
      </c>
      <c r="L76" s="4">
        <v>0</v>
      </c>
      <c r="M76" s="4">
        <v>0</v>
      </c>
      <c r="N76" s="12">
        <v>7.7</v>
      </c>
    </row>
    <row r="77" spans="1:14" ht="20" customHeight="1">
      <c r="A77" s="4" t="s">
        <v>305</v>
      </c>
      <c r="B77" s="4" t="s">
        <v>306</v>
      </c>
      <c r="C77" s="6" t="s">
        <v>302</v>
      </c>
      <c r="D77" s="5" t="s">
        <v>307</v>
      </c>
      <c r="E77" s="4" t="s">
        <v>292</v>
      </c>
      <c r="F77" s="4" t="s">
        <v>308</v>
      </c>
      <c r="G77" s="4">
        <v>247500</v>
      </c>
      <c r="H77" s="4">
        <v>12</v>
      </c>
      <c r="I77" s="5" t="s">
        <v>94</v>
      </c>
      <c r="J77" s="4" t="s">
        <v>49</v>
      </c>
      <c r="K77" s="4">
        <v>90</v>
      </c>
      <c r="L77" s="4">
        <v>0</v>
      </c>
      <c r="M77" s="4">
        <v>0</v>
      </c>
      <c r="N77" s="12">
        <v>7.5</v>
      </c>
    </row>
    <row r="78" spans="1:14" ht="20" customHeight="1">
      <c r="A78" s="4" t="s">
        <v>305</v>
      </c>
      <c r="B78" s="4" t="s">
        <v>306</v>
      </c>
      <c r="C78" s="6" t="s">
        <v>302</v>
      </c>
      <c r="D78" s="5" t="s">
        <v>307</v>
      </c>
      <c r="E78" s="4" t="s">
        <v>292</v>
      </c>
      <c r="F78" s="4" t="s">
        <v>308</v>
      </c>
      <c r="G78" s="4">
        <v>276198</v>
      </c>
      <c r="H78" s="4">
        <v>25</v>
      </c>
      <c r="I78" s="5" t="s">
        <v>142</v>
      </c>
      <c r="J78" s="4" t="s">
        <v>145</v>
      </c>
      <c r="K78" s="4">
        <v>90</v>
      </c>
      <c r="L78" s="4">
        <v>0</v>
      </c>
      <c r="M78" s="4">
        <v>0</v>
      </c>
      <c r="N78" s="12">
        <v>6</v>
      </c>
    </row>
    <row r="79" spans="1:14" ht="20" customHeight="1">
      <c r="A79" s="4" t="s">
        <v>309</v>
      </c>
      <c r="B79" s="4" t="s">
        <v>310</v>
      </c>
      <c r="C79" s="6" t="s">
        <v>302</v>
      </c>
      <c r="D79" s="5" t="s">
        <v>311</v>
      </c>
      <c r="E79" s="4" t="s">
        <v>280</v>
      </c>
      <c r="F79" s="4" t="s">
        <v>281</v>
      </c>
      <c r="G79" s="4">
        <v>279881</v>
      </c>
      <c r="H79" s="4">
        <v>21</v>
      </c>
      <c r="I79" s="5" t="s">
        <v>134</v>
      </c>
      <c r="J79" s="4" t="s">
        <v>61</v>
      </c>
      <c r="K79" s="4">
        <v>90</v>
      </c>
      <c r="L79" s="4">
        <v>0</v>
      </c>
      <c r="M79" s="13" t="s">
        <v>282</v>
      </c>
      <c r="N79" s="12">
        <v>7.4</v>
      </c>
    </row>
    <row r="80" spans="1:14" ht="20" customHeight="1">
      <c r="A80" s="4" t="s">
        <v>309</v>
      </c>
      <c r="B80" s="4" t="s">
        <v>310</v>
      </c>
      <c r="C80" s="6" t="s">
        <v>302</v>
      </c>
      <c r="D80" s="5" t="s">
        <v>311</v>
      </c>
      <c r="E80" s="4" t="s">
        <v>280</v>
      </c>
      <c r="F80" s="4" t="s">
        <v>281</v>
      </c>
      <c r="G80" s="4">
        <v>275520</v>
      </c>
      <c r="H80" s="4">
        <v>8</v>
      </c>
      <c r="I80" s="5" t="s">
        <v>70</v>
      </c>
      <c r="J80" s="4" t="s">
        <v>61</v>
      </c>
      <c r="K80" s="4">
        <v>90</v>
      </c>
      <c r="L80" s="13">
        <v>1</v>
      </c>
      <c r="M80" s="4">
        <v>0</v>
      </c>
      <c r="N80" s="12">
        <v>7</v>
      </c>
    </row>
    <row r="81" spans="1:14" ht="20" customHeight="1">
      <c r="A81" s="4" t="s">
        <v>309</v>
      </c>
      <c r="B81" s="4" t="s">
        <v>310</v>
      </c>
      <c r="C81" s="6" t="s">
        <v>302</v>
      </c>
      <c r="D81" s="5" t="s">
        <v>311</v>
      </c>
      <c r="E81" s="4" t="s">
        <v>280</v>
      </c>
      <c r="F81" s="4" t="s">
        <v>281</v>
      </c>
      <c r="G81" s="4">
        <v>271955</v>
      </c>
      <c r="H81" s="4">
        <v>5</v>
      </c>
      <c r="I81" s="5" t="s">
        <v>44</v>
      </c>
      <c r="J81" s="4" t="s">
        <v>49</v>
      </c>
      <c r="K81" s="4">
        <v>90</v>
      </c>
      <c r="L81" s="4">
        <v>0</v>
      </c>
      <c r="M81" s="4">
        <v>0</v>
      </c>
      <c r="N81" s="12">
        <v>6.7</v>
      </c>
    </row>
    <row r="82" spans="1:14" ht="20" customHeight="1">
      <c r="A82" s="4" t="s">
        <v>309</v>
      </c>
      <c r="B82" s="4" t="s">
        <v>310</v>
      </c>
      <c r="C82" s="6" t="s">
        <v>302</v>
      </c>
      <c r="D82" s="5" t="s">
        <v>311</v>
      </c>
      <c r="E82" s="4" t="s">
        <v>280</v>
      </c>
      <c r="F82" s="4" t="s">
        <v>281</v>
      </c>
      <c r="G82" s="4">
        <v>247500</v>
      </c>
      <c r="H82" s="4">
        <v>12</v>
      </c>
      <c r="I82" s="5" t="s">
        <v>94</v>
      </c>
      <c r="J82" s="4" t="s">
        <v>49</v>
      </c>
      <c r="K82" s="4">
        <v>90</v>
      </c>
      <c r="L82" s="4">
        <v>0</v>
      </c>
      <c r="M82" s="4">
        <v>0</v>
      </c>
      <c r="N82" s="12">
        <v>6.5</v>
      </c>
    </row>
    <row r="83" spans="1:14" ht="20" customHeight="1">
      <c r="A83" s="4" t="s">
        <v>309</v>
      </c>
      <c r="B83" s="4" t="s">
        <v>310</v>
      </c>
      <c r="C83" s="6" t="s">
        <v>302</v>
      </c>
      <c r="D83" s="5" t="s">
        <v>311</v>
      </c>
      <c r="E83" s="4" t="s">
        <v>280</v>
      </c>
      <c r="F83" s="4" t="s">
        <v>281</v>
      </c>
      <c r="G83" s="4">
        <v>279603</v>
      </c>
      <c r="H83" s="4">
        <v>15</v>
      </c>
      <c r="I83" s="5" t="s">
        <v>102</v>
      </c>
      <c r="J83" s="4" t="s">
        <v>106</v>
      </c>
      <c r="K83" s="4">
        <v>90</v>
      </c>
      <c r="L83" s="4">
        <v>0</v>
      </c>
      <c r="M83" s="4">
        <v>0</v>
      </c>
      <c r="N83" s="12">
        <v>6.2</v>
      </c>
    </row>
    <row r="84" spans="1:14" ht="20" customHeight="1">
      <c r="A84" s="4" t="s">
        <v>309</v>
      </c>
      <c r="B84" s="4" t="s">
        <v>310</v>
      </c>
      <c r="C84" s="6" t="s">
        <v>302</v>
      </c>
      <c r="D84" s="5" t="s">
        <v>311</v>
      </c>
      <c r="E84" s="4" t="s">
        <v>280</v>
      </c>
      <c r="F84" s="4" t="s">
        <v>281</v>
      </c>
      <c r="G84" s="4">
        <v>265405</v>
      </c>
      <c r="H84" s="4">
        <v>13</v>
      </c>
      <c r="I84" s="5" t="s">
        <v>183</v>
      </c>
      <c r="J84" s="4" t="s">
        <v>145</v>
      </c>
      <c r="K84" s="4">
        <v>90</v>
      </c>
      <c r="L84" s="4">
        <v>0</v>
      </c>
      <c r="M84" s="4">
        <v>0</v>
      </c>
      <c r="N84" s="12">
        <v>6.2</v>
      </c>
    </row>
    <row r="85" spans="1:14" ht="20" customHeight="1">
      <c r="A85" s="4" t="s">
        <v>309</v>
      </c>
      <c r="B85" s="4" t="s">
        <v>310</v>
      </c>
      <c r="C85" s="6" t="s">
        <v>302</v>
      </c>
      <c r="D85" s="5" t="s">
        <v>311</v>
      </c>
      <c r="E85" s="4" t="s">
        <v>280</v>
      </c>
      <c r="F85" s="4" t="s">
        <v>281</v>
      </c>
      <c r="G85" s="4">
        <v>278758</v>
      </c>
      <c r="H85" s="4">
        <v>16</v>
      </c>
      <c r="I85" s="5" t="s">
        <v>198</v>
      </c>
      <c r="J85" s="4" t="s">
        <v>287</v>
      </c>
      <c r="K85" s="4">
        <v>46</v>
      </c>
      <c r="L85" s="4">
        <v>0</v>
      </c>
      <c r="M85" s="13" t="s">
        <v>282</v>
      </c>
      <c r="N85" s="12">
        <v>8.5</v>
      </c>
    </row>
    <row r="86" spans="1:14" ht="20" customHeight="1">
      <c r="A86" s="4" t="s">
        <v>309</v>
      </c>
      <c r="B86" s="4" t="s">
        <v>310</v>
      </c>
      <c r="C86" s="6" t="s">
        <v>302</v>
      </c>
      <c r="D86" s="5" t="s">
        <v>311</v>
      </c>
      <c r="E86" s="4" t="s">
        <v>280</v>
      </c>
      <c r="F86" s="4" t="s">
        <v>281</v>
      </c>
      <c r="G86" s="4">
        <v>262498</v>
      </c>
      <c r="H86" s="4">
        <v>2</v>
      </c>
      <c r="I86" s="5" t="s">
        <v>162</v>
      </c>
      <c r="J86" s="4" t="s">
        <v>285</v>
      </c>
      <c r="K86" s="4">
        <v>46</v>
      </c>
      <c r="L86" s="4">
        <v>0</v>
      </c>
      <c r="M86" s="4">
        <v>0</v>
      </c>
      <c r="N86" s="12">
        <v>7.7</v>
      </c>
    </row>
    <row r="87" spans="1:14" ht="20" customHeight="1">
      <c r="A87" s="4" t="s">
        <v>309</v>
      </c>
      <c r="B87" s="4" t="s">
        <v>310</v>
      </c>
      <c r="C87" s="6" t="s">
        <v>302</v>
      </c>
      <c r="D87" s="5" t="s">
        <v>311</v>
      </c>
      <c r="E87" s="4" t="s">
        <v>280</v>
      </c>
      <c r="F87" s="4" t="s">
        <v>281</v>
      </c>
      <c r="G87" s="4">
        <v>230134</v>
      </c>
      <c r="H87" s="4">
        <v>14</v>
      </c>
      <c r="I87" s="5" t="s">
        <v>190</v>
      </c>
      <c r="J87" s="4" t="s">
        <v>286</v>
      </c>
      <c r="K87" s="4">
        <v>46</v>
      </c>
      <c r="L87" s="4">
        <v>0</v>
      </c>
      <c r="M87" s="4">
        <v>0</v>
      </c>
      <c r="N87" s="12">
        <v>7.2</v>
      </c>
    </row>
    <row r="88" spans="1:14" ht="20" customHeight="1">
      <c r="A88" s="4" t="s">
        <v>309</v>
      </c>
      <c r="B88" s="4" t="s">
        <v>310</v>
      </c>
      <c r="C88" s="6" t="s">
        <v>302</v>
      </c>
      <c r="D88" s="5" t="s">
        <v>311</v>
      </c>
      <c r="E88" s="4" t="s">
        <v>280</v>
      </c>
      <c r="F88" s="4" t="s">
        <v>281</v>
      </c>
      <c r="G88" s="4">
        <v>236393</v>
      </c>
      <c r="H88" s="4">
        <v>22</v>
      </c>
      <c r="I88" s="5" t="s">
        <v>234</v>
      </c>
      <c r="J88" s="4" t="s">
        <v>304</v>
      </c>
      <c r="K88" s="4">
        <v>46</v>
      </c>
      <c r="L88" s="4">
        <v>0</v>
      </c>
      <c r="M88" s="4">
        <v>0</v>
      </c>
      <c r="N88" s="12">
        <v>6.8</v>
      </c>
    </row>
    <row r="89" spans="1:14" ht="20" customHeight="1">
      <c r="A89" s="4" t="s">
        <v>309</v>
      </c>
      <c r="B89" s="4" t="s">
        <v>310</v>
      </c>
      <c r="C89" s="6" t="s">
        <v>302</v>
      </c>
      <c r="D89" s="5" t="s">
        <v>311</v>
      </c>
      <c r="E89" s="4" t="s">
        <v>280</v>
      </c>
      <c r="F89" s="4" t="s">
        <v>281</v>
      </c>
      <c r="G89" s="4">
        <v>245704</v>
      </c>
      <c r="H89" s="4">
        <v>20</v>
      </c>
      <c r="I89" s="5" t="s">
        <v>205</v>
      </c>
      <c r="J89" s="4" t="s">
        <v>283</v>
      </c>
      <c r="K89" s="4">
        <v>46</v>
      </c>
      <c r="L89" s="4">
        <v>0</v>
      </c>
      <c r="M89" s="4">
        <v>0</v>
      </c>
      <c r="N89" s="12">
        <v>5.8</v>
      </c>
    </row>
    <row r="90" spans="1:14" ht="20" customHeight="1">
      <c r="A90" s="4" t="s">
        <v>309</v>
      </c>
      <c r="B90" s="4" t="s">
        <v>310</v>
      </c>
      <c r="C90" s="6" t="s">
        <v>302</v>
      </c>
      <c r="D90" s="5" t="s">
        <v>311</v>
      </c>
      <c r="E90" s="4" t="s">
        <v>280</v>
      </c>
      <c r="F90" s="4" t="s">
        <v>281</v>
      </c>
      <c r="G90" s="4">
        <v>241505</v>
      </c>
      <c r="H90" s="4">
        <v>17</v>
      </c>
      <c r="I90" s="5" t="s">
        <v>114</v>
      </c>
      <c r="J90" s="4" t="s">
        <v>117</v>
      </c>
      <c r="K90" s="4">
        <v>45</v>
      </c>
      <c r="L90" s="4">
        <v>0</v>
      </c>
      <c r="M90" s="4">
        <v>0</v>
      </c>
      <c r="N90" s="12">
        <v>7.2</v>
      </c>
    </row>
    <row r="91" spans="1:14" ht="20" customHeight="1">
      <c r="A91" s="4" t="s">
        <v>309</v>
      </c>
      <c r="B91" s="4" t="s">
        <v>310</v>
      </c>
      <c r="C91" s="6" t="s">
        <v>302</v>
      </c>
      <c r="D91" s="5" t="s">
        <v>311</v>
      </c>
      <c r="E91" s="4" t="s">
        <v>280</v>
      </c>
      <c r="F91" s="4" t="s">
        <v>281</v>
      </c>
      <c r="G91" s="4">
        <v>75437</v>
      </c>
      <c r="H91" s="4">
        <v>29</v>
      </c>
      <c r="I91" s="5" t="s">
        <v>152</v>
      </c>
      <c r="J91" s="4" t="s">
        <v>156</v>
      </c>
      <c r="K91" s="4">
        <v>45</v>
      </c>
      <c r="L91" s="4">
        <v>0</v>
      </c>
      <c r="M91" s="4">
        <v>0</v>
      </c>
      <c r="N91" s="12">
        <v>6.9</v>
      </c>
    </row>
    <row r="92" spans="1:14" ht="20" customHeight="1">
      <c r="A92" s="4" t="s">
        <v>309</v>
      </c>
      <c r="B92" s="4" t="s">
        <v>310</v>
      </c>
      <c r="C92" s="6" t="s">
        <v>302</v>
      </c>
      <c r="D92" s="5" t="s">
        <v>311</v>
      </c>
      <c r="E92" s="4" t="s">
        <v>280</v>
      </c>
      <c r="F92" s="4" t="s">
        <v>281</v>
      </c>
      <c r="G92" s="4">
        <v>266100</v>
      </c>
      <c r="H92" s="4">
        <v>6</v>
      </c>
      <c r="I92" s="5" t="s">
        <v>59</v>
      </c>
      <c r="J92" s="4" t="s">
        <v>61</v>
      </c>
      <c r="K92" s="4">
        <v>45</v>
      </c>
      <c r="L92" s="4">
        <v>0</v>
      </c>
      <c r="M92" s="4">
        <v>0</v>
      </c>
      <c r="N92" s="12">
        <v>6.7</v>
      </c>
    </row>
    <row r="93" spans="1:14" ht="20" customHeight="1">
      <c r="A93" s="4" t="s">
        <v>309</v>
      </c>
      <c r="B93" s="4" t="s">
        <v>310</v>
      </c>
      <c r="C93" s="6" t="s">
        <v>302</v>
      </c>
      <c r="D93" s="5" t="s">
        <v>311</v>
      </c>
      <c r="E93" s="4" t="s">
        <v>280</v>
      </c>
      <c r="F93" s="4" t="s">
        <v>281</v>
      </c>
      <c r="G93" s="4">
        <v>263006</v>
      </c>
      <c r="H93" s="4">
        <v>19</v>
      </c>
      <c r="I93" s="5" t="s">
        <v>124</v>
      </c>
      <c r="J93" s="4" t="s">
        <v>128</v>
      </c>
      <c r="K93" s="4">
        <v>45</v>
      </c>
      <c r="L93" s="4">
        <v>0</v>
      </c>
      <c r="M93" s="13" t="s">
        <v>282</v>
      </c>
      <c r="N93" s="12">
        <v>6.3</v>
      </c>
    </row>
    <row r="94" spans="1:14" ht="20" customHeight="1">
      <c r="A94" s="4" t="s">
        <v>309</v>
      </c>
      <c r="B94" s="4" t="s">
        <v>310</v>
      </c>
      <c r="C94" s="6" t="s">
        <v>302</v>
      </c>
      <c r="D94" s="5" t="s">
        <v>311</v>
      </c>
      <c r="E94" s="4" t="s">
        <v>280</v>
      </c>
      <c r="F94" s="4" t="s">
        <v>281</v>
      </c>
      <c r="G94" s="4">
        <v>260044</v>
      </c>
      <c r="H94" s="4">
        <v>11</v>
      </c>
      <c r="I94" s="5" t="s">
        <v>81</v>
      </c>
      <c r="J94" s="4" t="s">
        <v>85</v>
      </c>
      <c r="K94" s="4">
        <v>45</v>
      </c>
      <c r="L94" s="4">
        <v>0</v>
      </c>
      <c r="M94" s="4">
        <v>0</v>
      </c>
      <c r="N94" s="12">
        <v>5.5</v>
      </c>
    </row>
  </sheetData>
  <autoFilter ref="A4:N94"/>
  <mergeCells count="2">
    <mergeCell ref="A1:N1"/>
    <mergeCell ref="A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0"/>
  <sheetViews>
    <sheetView workbookViewId="0"/>
  </sheetViews>
  <sheetFormatPr defaultRowHeight="15"/>
  <cols>
    <col min="1" max="1" width="8.7109375" customWidth="1"/>
    <col min="2" max="2" width="13.7109375" customWidth="1"/>
    <col min="3" max="3" width="34.7109375" customWidth="1"/>
    <col min="4" max="4" width="26.7109375" customWidth="1"/>
    <col min="5" max="5" width="10.7109375" customWidth="1"/>
    <col min="6" max="6" width="22.7109375" customWidth="1"/>
    <col min="7" max="7" width="12.7109375" customWidth="1"/>
    <col min="8" max="8" width="22.7109375" customWidth="1"/>
    <col min="9" max="9" width="13.7109375" customWidth="1"/>
    <col min="10" max="10" width="36.7109375" customWidth="1"/>
    <col min="11" max="11" width="22.7109375" customWidth="1"/>
  </cols>
  <sheetData>
    <row r="1" spans="1:11" ht="28" customHeight="1">
      <c r="A1" s="1" t="s">
        <v>312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313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8" customHeight="1">
      <c r="A4" s="3" t="s">
        <v>314</v>
      </c>
      <c r="B4" s="3" t="s">
        <v>265</v>
      </c>
      <c r="C4" s="3" t="s">
        <v>266</v>
      </c>
      <c r="D4" s="3" t="s">
        <v>315</v>
      </c>
      <c r="E4" s="3" t="s">
        <v>268</v>
      </c>
      <c r="F4" s="3" t="s">
        <v>316</v>
      </c>
      <c r="G4" s="3" t="s">
        <v>269</v>
      </c>
      <c r="H4" s="3" t="s">
        <v>317</v>
      </c>
      <c r="I4" s="3" t="s">
        <v>318</v>
      </c>
      <c r="J4" s="3" t="s">
        <v>319</v>
      </c>
      <c r="K4" s="3" t="s">
        <v>320</v>
      </c>
    </row>
    <row r="5" spans="1:11" ht="22" customHeight="1">
      <c r="A5" s="4" t="s">
        <v>276</v>
      </c>
      <c r="B5" s="4" t="s">
        <v>277</v>
      </c>
      <c r="C5" s="6" t="s">
        <v>278</v>
      </c>
      <c r="D5" s="6" t="s">
        <v>321</v>
      </c>
      <c r="E5" s="4" t="s">
        <v>280</v>
      </c>
      <c r="F5" s="5" t="s">
        <v>322</v>
      </c>
      <c r="G5" s="13" t="s">
        <v>281</v>
      </c>
      <c r="H5" s="5" t="s">
        <v>279</v>
      </c>
      <c r="I5" s="4" t="s">
        <v>323</v>
      </c>
      <c r="J5" s="6" t="s">
        <v>324</v>
      </c>
      <c r="K5" s="4" t="s">
        <v>142</v>
      </c>
    </row>
    <row r="6" spans="1:11" ht="22" customHeight="1">
      <c r="A6" s="4" t="s">
        <v>289</v>
      </c>
      <c r="B6" s="4" t="s">
        <v>290</v>
      </c>
      <c r="C6" s="6" t="s">
        <v>278</v>
      </c>
      <c r="D6" s="6" t="s">
        <v>325</v>
      </c>
      <c r="E6" s="4" t="s">
        <v>292</v>
      </c>
      <c r="F6" s="5" t="s">
        <v>291</v>
      </c>
      <c r="G6" s="13" t="s">
        <v>293</v>
      </c>
      <c r="H6" s="5" t="s">
        <v>322</v>
      </c>
      <c r="I6" s="4" t="s">
        <v>326</v>
      </c>
      <c r="J6" s="6" t="s">
        <v>327</v>
      </c>
      <c r="K6" s="4" t="s">
        <v>183</v>
      </c>
    </row>
    <row r="7" spans="1:11" ht="22" customHeight="1">
      <c r="A7" s="4" t="s">
        <v>294</v>
      </c>
      <c r="B7" s="4" t="s">
        <v>295</v>
      </c>
      <c r="C7" s="6" t="s">
        <v>278</v>
      </c>
      <c r="D7" s="6" t="s">
        <v>328</v>
      </c>
      <c r="E7" s="4" t="s">
        <v>280</v>
      </c>
      <c r="F7" s="5" t="s">
        <v>322</v>
      </c>
      <c r="G7" s="13" t="s">
        <v>297</v>
      </c>
      <c r="H7" s="5" t="s">
        <v>296</v>
      </c>
      <c r="I7" s="4" t="s">
        <v>326</v>
      </c>
      <c r="J7" s="6" t="s">
        <v>329</v>
      </c>
      <c r="K7" s="4" t="s">
        <v>142</v>
      </c>
    </row>
    <row r="8" spans="1:11" ht="22" customHeight="1">
      <c r="A8" s="4" t="s">
        <v>300</v>
      </c>
      <c r="B8" s="4" t="s">
        <v>301</v>
      </c>
      <c r="C8" s="6" t="s">
        <v>302</v>
      </c>
      <c r="D8" s="6" t="s">
        <v>330</v>
      </c>
      <c r="E8" s="4" t="s">
        <v>292</v>
      </c>
      <c r="F8" s="5" t="s">
        <v>303</v>
      </c>
      <c r="G8" s="13" t="s">
        <v>293</v>
      </c>
      <c r="H8" s="5" t="s">
        <v>322</v>
      </c>
      <c r="I8" s="4" t="s">
        <v>326</v>
      </c>
      <c r="J8" s="6" t="s">
        <v>331</v>
      </c>
      <c r="K8" s="4" t="s">
        <v>142</v>
      </c>
    </row>
    <row r="9" spans="1:11" ht="22" customHeight="1">
      <c r="A9" s="4" t="s">
        <v>305</v>
      </c>
      <c r="B9" s="4" t="s">
        <v>306</v>
      </c>
      <c r="C9" s="6" t="s">
        <v>302</v>
      </c>
      <c r="D9" s="6" t="s">
        <v>332</v>
      </c>
      <c r="E9" s="4" t="s">
        <v>292</v>
      </c>
      <c r="F9" s="5" t="s">
        <v>307</v>
      </c>
      <c r="G9" s="13" t="s">
        <v>308</v>
      </c>
      <c r="H9" s="5" t="s">
        <v>322</v>
      </c>
      <c r="I9" s="4" t="s">
        <v>326</v>
      </c>
      <c r="J9" s="6" t="s">
        <v>333</v>
      </c>
      <c r="K9" s="4" t="s">
        <v>142</v>
      </c>
    </row>
    <row r="10" spans="1:11" ht="22" customHeight="1">
      <c r="A10" s="4" t="s">
        <v>309</v>
      </c>
      <c r="B10" s="4" t="s">
        <v>310</v>
      </c>
      <c r="C10" s="6" t="s">
        <v>302</v>
      </c>
      <c r="D10" s="6" t="s">
        <v>334</v>
      </c>
      <c r="E10" s="4" t="s">
        <v>280</v>
      </c>
      <c r="F10" s="5" t="s">
        <v>322</v>
      </c>
      <c r="G10" s="13" t="s">
        <v>281</v>
      </c>
      <c r="H10" s="5" t="s">
        <v>311</v>
      </c>
      <c r="I10" s="4" t="s">
        <v>323</v>
      </c>
      <c r="J10" s="6" t="s">
        <v>335</v>
      </c>
      <c r="K10" s="4" t="s">
        <v>183</v>
      </c>
    </row>
  </sheetData>
  <mergeCells count="2">
    <mergeCell ref="A1:K1"/>
    <mergeCell ref="A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39"/>
  <sheetViews>
    <sheetView workbookViewId="0"/>
  </sheetViews>
  <sheetFormatPr defaultRowHeight="15"/>
  <cols>
    <col min="1" max="1" width="8.7109375" customWidth="1"/>
    <col min="2" max="2" width="28.7109375" customWidth="1"/>
    <col min="3" max="8" width="10.7109375" customWidth="1"/>
    <col min="9" max="9" width="12.7109375" customWidth="1"/>
    <col min="10" max="10" width="10.7109375" customWidth="1"/>
    <col min="11" max="11" width="36.7109375" customWidth="1"/>
  </cols>
  <sheetData>
    <row r="1" spans="1:11" ht="28" customHeight="1">
      <c r="A1" s="1" t="s">
        <v>336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337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4" customHeight="1">
      <c r="A4" s="2" t="s">
        <v>338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ht="24" customHeight="1">
      <c r="A5" s="3" t="s">
        <v>339</v>
      </c>
      <c r="B5" s="3" t="s">
        <v>340</v>
      </c>
      <c r="C5" s="3" t="s">
        <v>341</v>
      </c>
      <c r="D5" s="3" t="s">
        <v>342</v>
      </c>
      <c r="E5" s="3" t="s">
        <v>343</v>
      </c>
      <c r="F5" s="3" t="s">
        <v>344</v>
      </c>
      <c r="G5" s="3" t="s">
        <v>345</v>
      </c>
      <c r="H5" s="3" t="s">
        <v>346</v>
      </c>
      <c r="I5" s="3" t="s">
        <v>347</v>
      </c>
      <c r="J5" s="3" t="s">
        <v>348</v>
      </c>
      <c r="K5" s="3" t="s">
        <v>349</v>
      </c>
    </row>
    <row r="6" spans="1:11" ht="20" customHeight="1">
      <c r="A6" s="4" t="s">
        <v>350</v>
      </c>
      <c r="B6" s="5" t="s">
        <v>351</v>
      </c>
      <c r="C6" s="4">
        <v>9</v>
      </c>
      <c r="D6" s="4">
        <v>3</v>
      </c>
      <c r="E6" s="4">
        <v>3</v>
      </c>
      <c r="F6" s="4">
        <v>0</v>
      </c>
      <c r="G6" s="4">
        <v>0</v>
      </c>
      <c r="H6" s="4">
        <v>6</v>
      </c>
      <c r="I6" s="4">
        <v>3</v>
      </c>
      <c r="J6" s="4">
        <v>3</v>
      </c>
      <c r="K6" s="4" t="s">
        <v>352</v>
      </c>
    </row>
    <row r="7" spans="1:11" ht="20" customHeight="1">
      <c r="A7" s="15" t="s">
        <v>353</v>
      </c>
      <c r="B7" s="15" t="s">
        <v>322</v>
      </c>
      <c r="C7" s="15">
        <v>7</v>
      </c>
      <c r="D7" s="15">
        <v>3</v>
      </c>
      <c r="E7" s="15">
        <v>2</v>
      </c>
      <c r="F7" s="15">
        <v>1</v>
      </c>
      <c r="G7" s="15">
        <v>0</v>
      </c>
      <c r="H7" s="15">
        <v>8</v>
      </c>
      <c r="I7" s="15">
        <v>2</v>
      </c>
      <c r="J7" s="15">
        <v>6</v>
      </c>
      <c r="K7" s="15" t="s">
        <v>354</v>
      </c>
    </row>
    <row r="8" spans="1:11" ht="20" customHeight="1">
      <c r="A8" s="4" t="s">
        <v>355</v>
      </c>
      <c r="B8" s="5" t="s">
        <v>356</v>
      </c>
      <c r="C8" s="4">
        <v>7</v>
      </c>
      <c r="D8" s="4">
        <v>3</v>
      </c>
      <c r="E8" s="4">
        <v>2</v>
      </c>
      <c r="F8" s="4">
        <v>1</v>
      </c>
      <c r="G8" s="4">
        <v>0</v>
      </c>
      <c r="H8" s="4">
        <v>4</v>
      </c>
      <c r="I8" s="4">
        <v>0</v>
      </c>
      <c r="J8" s="4">
        <v>4</v>
      </c>
      <c r="K8" s="4" t="s">
        <v>357</v>
      </c>
    </row>
    <row r="9" spans="1:11" ht="20" customHeight="1">
      <c r="A9" s="4" t="s">
        <v>358</v>
      </c>
      <c r="B9" s="5" t="s">
        <v>359</v>
      </c>
      <c r="C9" s="4">
        <v>7</v>
      </c>
      <c r="D9" s="4">
        <v>4</v>
      </c>
      <c r="E9" s="4">
        <v>2</v>
      </c>
      <c r="F9" s="4">
        <v>1</v>
      </c>
      <c r="G9" s="4">
        <v>1</v>
      </c>
      <c r="H9" s="4">
        <v>7</v>
      </c>
      <c r="I9" s="4">
        <v>4</v>
      </c>
      <c r="J9" s="4">
        <v>3</v>
      </c>
      <c r="K9" s="4" t="s">
        <v>360</v>
      </c>
    </row>
    <row r="10" spans="1:11" ht="20" customHeight="1">
      <c r="A10" s="4" t="s">
        <v>361</v>
      </c>
      <c r="B10" s="5" t="s">
        <v>362</v>
      </c>
      <c r="C10" s="4">
        <v>7</v>
      </c>
      <c r="D10" s="4">
        <v>3</v>
      </c>
      <c r="E10" s="4">
        <v>2</v>
      </c>
      <c r="F10" s="4">
        <v>1</v>
      </c>
      <c r="G10" s="4">
        <v>0</v>
      </c>
      <c r="H10" s="4">
        <v>3</v>
      </c>
      <c r="I10" s="4">
        <v>0</v>
      </c>
      <c r="J10" s="4">
        <v>3</v>
      </c>
      <c r="K10" s="4" t="s">
        <v>363</v>
      </c>
    </row>
    <row r="11" spans="1:11" ht="20" customHeight="1">
      <c r="A11" s="4" t="s">
        <v>364</v>
      </c>
      <c r="B11" s="5" t="s">
        <v>365</v>
      </c>
      <c r="C11" s="4">
        <v>5</v>
      </c>
      <c r="D11" s="4">
        <v>3</v>
      </c>
      <c r="E11" s="4">
        <v>1</v>
      </c>
      <c r="F11" s="4">
        <v>2</v>
      </c>
      <c r="G11" s="4">
        <v>0</v>
      </c>
      <c r="H11" s="4">
        <v>5</v>
      </c>
      <c r="I11" s="4">
        <v>3</v>
      </c>
      <c r="J11" s="4">
        <v>2</v>
      </c>
      <c r="K11" s="4" t="s">
        <v>366</v>
      </c>
    </row>
    <row r="12" spans="1:11" ht="20" customHeight="1">
      <c r="A12" s="4" t="s">
        <v>367</v>
      </c>
      <c r="B12" s="5" t="s">
        <v>368</v>
      </c>
      <c r="C12" s="4">
        <v>5</v>
      </c>
      <c r="D12" s="4">
        <v>3</v>
      </c>
      <c r="E12" s="4">
        <v>1</v>
      </c>
      <c r="F12" s="4">
        <v>2</v>
      </c>
      <c r="G12" s="4">
        <v>0</v>
      </c>
      <c r="H12" s="4">
        <v>4</v>
      </c>
      <c r="I12" s="4">
        <v>2</v>
      </c>
      <c r="J12" s="4">
        <v>2</v>
      </c>
      <c r="K12" s="4" t="s">
        <v>369</v>
      </c>
    </row>
    <row r="13" spans="1:11" ht="20" customHeight="1">
      <c r="A13" s="4" t="s">
        <v>370</v>
      </c>
      <c r="B13" s="5" t="s">
        <v>371</v>
      </c>
      <c r="C13" s="4">
        <v>5</v>
      </c>
      <c r="D13" s="4">
        <v>3</v>
      </c>
      <c r="E13" s="4">
        <v>1</v>
      </c>
      <c r="F13" s="4">
        <v>2</v>
      </c>
      <c r="G13" s="4">
        <v>0</v>
      </c>
      <c r="H13" s="4">
        <v>4</v>
      </c>
      <c r="I13" s="4">
        <v>3</v>
      </c>
      <c r="J13" s="4">
        <v>1</v>
      </c>
      <c r="K13" s="4" t="s">
        <v>372</v>
      </c>
    </row>
    <row r="14" spans="1:11" ht="20" customHeight="1">
      <c r="A14" s="4" t="s">
        <v>373</v>
      </c>
      <c r="B14" s="5" t="s">
        <v>374</v>
      </c>
      <c r="C14" s="4">
        <v>5</v>
      </c>
      <c r="D14" s="4">
        <v>4</v>
      </c>
      <c r="E14" s="4">
        <v>1</v>
      </c>
      <c r="F14" s="4">
        <v>2</v>
      </c>
      <c r="G14" s="4">
        <v>1</v>
      </c>
      <c r="H14" s="4">
        <v>4</v>
      </c>
      <c r="I14" s="4">
        <v>4</v>
      </c>
      <c r="J14" s="4">
        <v>0</v>
      </c>
      <c r="K14" s="4" t="s">
        <v>375</v>
      </c>
    </row>
    <row r="15" spans="1:11" ht="20" customHeight="1">
      <c r="A15" s="4" t="s">
        <v>376</v>
      </c>
      <c r="B15" s="5" t="s">
        <v>377</v>
      </c>
      <c r="C15" s="4">
        <v>4</v>
      </c>
      <c r="D15" s="4">
        <v>3</v>
      </c>
      <c r="E15" s="4">
        <v>1</v>
      </c>
      <c r="F15" s="4">
        <v>1</v>
      </c>
      <c r="G15" s="4">
        <v>1</v>
      </c>
      <c r="H15" s="4">
        <v>4</v>
      </c>
      <c r="I15" s="4">
        <v>3</v>
      </c>
      <c r="J15" s="4">
        <v>1</v>
      </c>
      <c r="K15" s="4" t="s">
        <v>378</v>
      </c>
    </row>
    <row r="16" spans="1:11" ht="20" customHeight="1">
      <c r="A16" s="4" t="s">
        <v>379</v>
      </c>
      <c r="B16" s="5" t="s">
        <v>380</v>
      </c>
      <c r="C16" s="4">
        <v>4</v>
      </c>
      <c r="D16" s="4">
        <v>4</v>
      </c>
      <c r="E16" s="4">
        <v>0</v>
      </c>
      <c r="F16" s="4">
        <v>4</v>
      </c>
      <c r="G16" s="4">
        <v>0</v>
      </c>
      <c r="H16" s="4">
        <v>6</v>
      </c>
      <c r="I16" s="4">
        <v>6</v>
      </c>
      <c r="J16" s="4">
        <v>0</v>
      </c>
      <c r="K16" s="4" t="s">
        <v>381</v>
      </c>
    </row>
    <row r="17" spans="1:11" ht="20" customHeight="1">
      <c r="A17" s="4" t="s">
        <v>382</v>
      </c>
      <c r="B17" s="5" t="s">
        <v>383</v>
      </c>
      <c r="C17" s="4">
        <v>4</v>
      </c>
      <c r="D17" s="4">
        <v>4</v>
      </c>
      <c r="E17" s="4">
        <v>0</v>
      </c>
      <c r="F17" s="4">
        <v>4</v>
      </c>
      <c r="G17" s="4">
        <v>0</v>
      </c>
      <c r="H17" s="4">
        <v>4</v>
      </c>
      <c r="I17" s="4">
        <v>4</v>
      </c>
      <c r="J17" s="4">
        <v>0</v>
      </c>
      <c r="K17" s="4" t="s">
        <v>384</v>
      </c>
    </row>
    <row r="18" spans="1:11" ht="20" customHeight="1">
      <c r="A18" s="4" t="s">
        <v>385</v>
      </c>
      <c r="B18" s="5" t="s">
        <v>386</v>
      </c>
      <c r="C18" s="4">
        <v>4</v>
      </c>
      <c r="D18" s="4">
        <v>4</v>
      </c>
      <c r="E18" s="4">
        <v>0</v>
      </c>
      <c r="F18" s="4">
        <v>4</v>
      </c>
      <c r="G18" s="4">
        <v>0</v>
      </c>
      <c r="H18" s="4">
        <v>3</v>
      </c>
      <c r="I18" s="4">
        <v>3</v>
      </c>
      <c r="J18" s="4">
        <v>0</v>
      </c>
      <c r="K18" s="4" t="s">
        <v>387</v>
      </c>
    </row>
    <row r="19" spans="1:11" ht="20" customHeight="1">
      <c r="A19" s="4" t="s">
        <v>388</v>
      </c>
      <c r="B19" s="5" t="s">
        <v>389</v>
      </c>
      <c r="C19" s="4">
        <v>4</v>
      </c>
      <c r="D19" s="4">
        <v>4</v>
      </c>
      <c r="E19" s="4">
        <v>1</v>
      </c>
      <c r="F19" s="4">
        <v>1</v>
      </c>
      <c r="G19" s="4">
        <v>2</v>
      </c>
      <c r="H19" s="4">
        <v>3</v>
      </c>
      <c r="I19" s="4">
        <v>4</v>
      </c>
      <c r="J19" s="4">
        <v>-1</v>
      </c>
      <c r="K19" s="4" t="s">
        <v>390</v>
      </c>
    </row>
    <row r="20" spans="1:11" ht="20" customHeight="1">
      <c r="A20" s="4" t="s">
        <v>391</v>
      </c>
      <c r="B20" s="5" t="s">
        <v>392</v>
      </c>
      <c r="C20" s="4">
        <v>4</v>
      </c>
      <c r="D20" s="4">
        <v>4</v>
      </c>
      <c r="E20" s="4">
        <v>1</v>
      </c>
      <c r="F20" s="4">
        <v>1</v>
      </c>
      <c r="G20" s="4">
        <v>2</v>
      </c>
      <c r="H20" s="4">
        <v>5</v>
      </c>
      <c r="I20" s="4">
        <v>7</v>
      </c>
      <c r="J20" s="4">
        <v>-2</v>
      </c>
      <c r="K20" s="4" t="s">
        <v>393</v>
      </c>
    </row>
    <row r="21" spans="1:11" ht="20" customHeight="1">
      <c r="A21" s="4" t="s">
        <v>394</v>
      </c>
      <c r="B21" s="5" t="s">
        <v>395</v>
      </c>
      <c r="C21" s="4">
        <v>3</v>
      </c>
      <c r="D21" s="4">
        <v>3</v>
      </c>
      <c r="E21" s="4">
        <v>0</v>
      </c>
      <c r="F21" s="4">
        <v>3</v>
      </c>
      <c r="G21" s="4">
        <v>0</v>
      </c>
      <c r="H21" s="4">
        <v>6</v>
      </c>
      <c r="I21" s="4">
        <v>6</v>
      </c>
      <c r="J21" s="4">
        <v>0</v>
      </c>
      <c r="K21" s="4" t="s">
        <v>396</v>
      </c>
    </row>
    <row r="22" spans="1:11" ht="20" customHeight="1">
      <c r="A22" s="4" t="s">
        <v>397</v>
      </c>
      <c r="B22" s="5" t="s">
        <v>398</v>
      </c>
      <c r="C22" s="4">
        <v>3</v>
      </c>
      <c r="D22" s="4">
        <v>3</v>
      </c>
      <c r="E22" s="4">
        <v>0</v>
      </c>
      <c r="F22" s="4">
        <v>3</v>
      </c>
      <c r="G22" s="4">
        <v>0</v>
      </c>
      <c r="H22" s="4">
        <v>5</v>
      </c>
      <c r="I22" s="4">
        <v>5</v>
      </c>
      <c r="J22" s="4">
        <v>0</v>
      </c>
      <c r="K22" s="4" t="s">
        <v>399</v>
      </c>
    </row>
    <row r="23" spans="1:11" ht="20" customHeight="1">
      <c r="A23" s="4" t="s">
        <v>400</v>
      </c>
      <c r="B23" s="5" t="s">
        <v>311</v>
      </c>
      <c r="C23" s="4">
        <v>3</v>
      </c>
      <c r="D23" s="4">
        <v>4</v>
      </c>
      <c r="E23" s="4">
        <v>0</v>
      </c>
      <c r="F23" s="4">
        <v>3</v>
      </c>
      <c r="G23" s="4">
        <v>1</v>
      </c>
      <c r="H23" s="4">
        <v>5</v>
      </c>
      <c r="I23" s="4">
        <v>7</v>
      </c>
      <c r="J23" s="4">
        <v>-2</v>
      </c>
      <c r="K23" s="4" t="s">
        <v>401</v>
      </c>
    </row>
    <row r="24" spans="1:11" ht="20" customHeight="1">
      <c r="A24" s="4" t="s">
        <v>402</v>
      </c>
      <c r="B24" s="5" t="s">
        <v>403</v>
      </c>
      <c r="C24" s="4">
        <v>1</v>
      </c>
      <c r="D24" s="4">
        <v>3</v>
      </c>
      <c r="E24" s="4">
        <v>0</v>
      </c>
      <c r="F24" s="4">
        <v>1</v>
      </c>
      <c r="G24" s="4">
        <v>2</v>
      </c>
      <c r="H24" s="4">
        <v>4</v>
      </c>
      <c r="I24" s="4">
        <v>8</v>
      </c>
      <c r="J24" s="4">
        <v>-4</v>
      </c>
      <c r="K24" s="4" t="s">
        <v>404</v>
      </c>
    </row>
    <row r="25" spans="1:11" ht="20" customHeight="1">
      <c r="A25" s="4" t="s">
        <v>405</v>
      </c>
      <c r="B25" s="5" t="s">
        <v>307</v>
      </c>
      <c r="C25" s="4">
        <v>1</v>
      </c>
      <c r="D25" s="4">
        <v>3</v>
      </c>
      <c r="E25" s="4">
        <v>0</v>
      </c>
      <c r="F25" s="4">
        <v>1</v>
      </c>
      <c r="G25" s="4">
        <v>2</v>
      </c>
      <c r="H25" s="4">
        <v>4</v>
      </c>
      <c r="I25" s="4">
        <v>9</v>
      </c>
      <c r="J25" s="4">
        <v>-5</v>
      </c>
      <c r="K25" s="4" t="s">
        <v>406</v>
      </c>
    </row>
    <row r="26" spans="1:11" ht="20" customHeight="1">
      <c r="A26" s="4" t="s">
        <v>407</v>
      </c>
      <c r="B26" s="5" t="s">
        <v>303</v>
      </c>
      <c r="C26" s="4">
        <v>1</v>
      </c>
      <c r="D26" s="4">
        <v>4</v>
      </c>
      <c r="E26" s="4">
        <v>0</v>
      </c>
      <c r="F26" s="4">
        <v>1</v>
      </c>
      <c r="G26" s="4">
        <v>3</v>
      </c>
      <c r="H26" s="4">
        <v>4</v>
      </c>
      <c r="I26" s="4">
        <v>9</v>
      </c>
      <c r="J26" s="4">
        <v>-5</v>
      </c>
      <c r="K26" s="4" t="s">
        <v>408</v>
      </c>
    </row>
    <row r="27" spans="1:11" ht="20" customHeight="1">
      <c r="A27" s="4" t="s">
        <v>409</v>
      </c>
      <c r="B27" s="5" t="s">
        <v>410</v>
      </c>
      <c r="C27" s="4">
        <v>1</v>
      </c>
      <c r="D27" s="4">
        <v>4</v>
      </c>
      <c r="E27" s="4">
        <v>0</v>
      </c>
      <c r="F27" s="4">
        <v>1</v>
      </c>
      <c r="G27" s="4">
        <v>3</v>
      </c>
      <c r="H27" s="4">
        <v>0</v>
      </c>
      <c r="I27" s="4">
        <v>6</v>
      </c>
      <c r="J27" s="4">
        <v>-6</v>
      </c>
      <c r="K27" s="4" t="s">
        <v>411</v>
      </c>
    </row>
    <row r="30" spans="1:11" ht="24" customHeight="1">
      <c r="A30" s="2" t="s">
        <v>412</v>
      </c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ht="24" customHeight="1">
      <c r="A31" s="3" t="s">
        <v>339</v>
      </c>
      <c r="B31" s="3" t="s">
        <v>340</v>
      </c>
      <c r="C31" s="3" t="s">
        <v>341</v>
      </c>
      <c r="D31" s="3" t="s">
        <v>342</v>
      </c>
      <c r="E31" s="3" t="s">
        <v>343</v>
      </c>
      <c r="F31" s="3" t="s">
        <v>344</v>
      </c>
      <c r="G31" s="3" t="s">
        <v>345</v>
      </c>
      <c r="H31" s="3" t="s">
        <v>346</v>
      </c>
      <c r="I31" s="3" t="s">
        <v>347</v>
      </c>
      <c r="J31" s="3" t="s">
        <v>348</v>
      </c>
      <c r="K31" s="3" t="s">
        <v>349</v>
      </c>
    </row>
    <row r="32" spans="1:11" ht="20" customHeight="1">
      <c r="A32" s="15" t="s">
        <v>350</v>
      </c>
      <c r="B32" s="15" t="s">
        <v>322</v>
      </c>
      <c r="C32" s="15">
        <v>7</v>
      </c>
      <c r="D32" s="15">
        <v>3</v>
      </c>
      <c r="E32" s="15">
        <v>2</v>
      </c>
      <c r="F32" s="15">
        <v>1</v>
      </c>
      <c r="G32" s="15">
        <v>0</v>
      </c>
      <c r="H32" s="15">
        <v>6</v>
      </c>
      <c r="I32" s="15">
        <v>1</v>
      </c>
      <c r="J32" s="15">
        <v>5</v>
      </c>
      <c r="K32" s="15" t="s">
        <v>413</v>
      </c>
    </row>
    <row r="33" spans="1:11" ht="20" customHeight="1">
      <c r="A33" s="4" t="s">
        <v>353</v>
      </c>
      <c r="B33" s="5" t="s">
        <v>414</v>
      </c>
      <c r="C33" s="4">
        <v>7</v>
      </c>
      <c r="D33" s="4">
        <v>3</v>
      </c>
      <c r="E33" s="4">
        <v>2</v>
      </c>
      <c r="F33" s="4">
        <v>1</v>
      </c>
      <c r="G33" s="4">
        <v>0</v>
      </c>
      <c r="H33" s="4">
        <v>6</v>
      </c>
      <c r="I33" s="4">
        <v>3</v>
      </c>
      <c r="J33" s="4">
        <v>3</v>
      </c>
      <c r="K33" s="4" t="s">
        <v>415</v>
      </c>
    </row>
    <row r="34" spans="1:11" ht="20" customHeight="1">
      <c r="A34" s="4" t="s">
        <v>355</v>
      </c>
      <c r="B34" s="5" t="s">
        <v>416</v>
      </c>
      <c r="C34" s="4">
        <v>5</v>
      </c>
      <c r="D34" s="4">
        <v>3</v>
      </c>
      <c r="E34" s="4">
        <v>1</v>
      </c>
      <c r="F34" s="4">
        <v>2</v>
      </c>
      <c r="G34" s="4">
        <v>0</v>
      </c>
      <c r="H34" s="4">
        <v>3</v>
      </c>
      <c r="I34" s="4">
        <v>2</v>
      </c>
      <c r="J34" s="4">
        <v>1</v>
      </c>
      <c r="K34" s="4" t="s">
        <v>417</v>
      </c>
    </row>
    <row r="35" spans="1:11" ht="20" customHeight="1">
      <c r="A35" s="4" t="s">
        <v>358</v>
      </c>
      <c r="B35" s="5" t="s">
        <v>418</v>
      </c>
      <c r="C35" s="4">
        <v>5</v>
      </c>
      <c r="D35" s="4">
        <v>3</v>
      </c>
      <c r="E35" s="4">
        <v>1</v>
      </c>
      <c r="F35" s="4">
        <v>2</v>
      </c>
      <c r="G35" s="4">
        <v>0</v>
      </c>
      <c r="H35" s="4">
        <v>3</v>
      </c>
      <c r="I35" s="4">
        <v>2</v>
      </c>
      <c r="J35" s="4">
        <v>1</v>
      </c>
      <c r="K35" s="4" t="s">
        <v>419</v>
      </c>
    </row>
    <row r="36" spans="1:11" ht="20" customHeight="1">
      <c r="A36" s="4" t="s">
        <v>361</v>
      </c>
      <c r="B36" s="5" t="s">
        <v>420</v>
      </c>
      <c r="C36" s="4">
        <v>4</v>
      </c>
      <c r="D36" s="4">
        <v>3</v>
      </c>
      <c r="E36" s="4">
        <v>1</v>
      </c>
      <c r="F36" s="4">
        <v>1</v>
      </c>
      <c r="G36" s="4">
        <v>1</v>
      </c>
      <c r="H36" s="4">
        <v>3</v>
      </c>
      <c r="I36" s="4">
        <v>3</v>
      </c>
      <c r="J36" s="4">
        <v>0</v>
      </c>
      <c r="K36" s="4" t="s">
        <v>421</v>
      </c>
    </row>
    <row r="37" spans="1:11" ht="20" customHeight="1">
      <c r="A37" s="4" t="s">
        <v>364</v>
      </c>
      <c r="B37" s="5" t="s">
        <v>279</v>
      </c>
      <c r="C37" s="4">
        <v>2</v>
      </c>
      <c r="D37" s="4">
        <v>3</v>
      </c>
      <c r="E37" s="4">
        <v>0</v>
      </c>
      <c r="F37" s="4">
        <v>2</v>
      </c>
      <c r="G37" s="4">
        <v>1</v>
      </c>
      <c r="H37" s="4">
        <v>2</v>
      </c>
      <c r="I37" s="4">
        <v>5</v>
      </c>
      <c r="J37" s="4">
        <v>-3</v>
      </c>
      <c r="K37" s="4" t="s">
        <v>422</v>
      </c>
    </row>
    <row r="38" spans="1:11" ht="20" customHeight="1">
      <c r="A38" s="4" t="s">
        <v>367</v>
      </c>
      <c r="B38" s="5" t="s">
        <v>296</v>
      </c>
      <c r="C38" s="4">
        <v>1</v>
      </c>
      <c r="D38" s="4">
        <v>3</v>
      </c>
      <c r="E38" s="4">
        <v>0</v>
      </c>
      <c r="F38" s="4">
        <v>1</v>
      </c>
      <c r="G38" s="4">
        <v>2</v>
      </c>
      <c r="H38" s="4">
        <v>1</v>
      </c>
      <c r="I38" s="4">
        <v>5</v>
      </c>
      <c r="J38" s="4">
        <v>-4</v>
      </c>
      <c r="K38" s="4" t="s">
        <v>423</v>
      </c>
    </row>
    <row r="39" spans="1:11" ht="20" customHeight="1">
      <c r="A39" s="4" t="s">
        <v>370</v>
      </c>
      <c r="B39" s="5" t="s">
        <v>291</v>
      </c>
      <c r="C39" s="4">
        <v>0</v>
      </c>
      <c r="D39" s="4">
        <v>3</v>
      </c>
      <c r="E39" s="4">
        <v>0</v>
      </c>
      <c r="F39" s="4">
        <v>0</v>
      </c>
      <c r="G39" s="4">
        <v>3</v>
      </c>
      <c r="H39" s="4">
        <v>2</v>
      </c>
      <c r="I39" s="4">
        <v>5</v>
      </c>
      <c r="J39" s="4">
        <v>-3</v>
      </c>
      <c r="K39" s="4" t="s">
        <v>424</v>
      </c>
    </row>
  </sheetData>
  <mergeCells count="4">
    <mergeCell ref="A1:K1"/>
    <mergeCell ref="A2:K2"/>
    <mergeCell ref="A4:K4"/>
    <mergeCell ref="A30:K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6.7109375" customWidth="1"/>
    <col min="2" max="2" width="44.7109375" customWidth="1"/>
    <col min="3" max="3" width="34.7109375" customWidth="1"/>
    <col min="4" max="4" width="72.7109375" customWidth="1"/>
    <col min="5" max="5" width="62.7109375" customWidth="1"/>
  </cols>
  <sheetData>
    <row r="1" spans="1:5" ht="28" customHeight="1">
      <c r="A1" s="1" t="s">
        <v>425</v>
      </c>
      <c r="B1" s="1"/>
      <c r="C1" s="1"/>
      <c r="D1" s="1"/>
      <c r="E1" s="1"/>
    </row>
    <row r="2" spans="1:5" ht="20" customHeight="1">
      <c r="A2" s="2" t="s">
        <v>426</v>
      </c>
      <c r="B2" s="2"/>
      <c r="C2" s="2"/>
      <c r="D2" s="2"/>
      <c r="E2" s="2"/>
    </row>
    <row r="4" spans="1:5" ht="26" customHeight="1">
      <c r="A4" s="3" t="s">
        <v>427</v>
      </c>
      <c r="B4" s="3" t="s">
        <v>428</v>
      </c>
      <c r="C4" s="3" t="s">
        <v>429</v>
      </c>
      <c r="D4" s="3" t="s">
        <v>430</v>
      </c>
      <c r="E4" s="3" t="s">
        <v>431</v>
      </c>
    </row>
    <row r="5" spans="1:5" ht="26" customHeight="1">
      <c r="A5" s="4">
        <v>1</v>
      </c>
      <c r="B5" s="5" t="s">
        <v>432</v>
      </c>
      <c r="C5" s="8" t="str">
        <f>IF(SUM('Elenco Completo (Hub)'!$AB$5:$AB$29)=SUM('Desempenho por Jogo (Logs)'!$L$5:$L$94), "OK (VERIFICADO)", "DIVERGÊNCIA DETECTADA")</f>
        <v>OK (VERIFICADO)</v>
      </c>
      <c r="D5" s="6" t="s">
        <v>433</v>
      </c>
      <c r="E5" s="6" t="s">
        <v>434</v>
      </c>
    </row>
    <row r="6" spans="1:5" ht="26" customHeight="1">
      <c r="A6" s="4">
        <v>2</v>
      </c>
      <c r="B6" s="5" t="s">
        <v>435</v>
      </c>
      <c r="C6" s="13" t="s">
        <v>436</v>
      </c>
      <c r="D6" s="6" t="s">
        <v>437</v>
      </c>
      <c r="E6" s="6" t="s">
        <v>438</v>
      </c>
    </row>
    <row r="7" spans="1:5" ht="26" customHeight="1">
      <c r="A7" s="4">
        <v>3</v>
      </c>
      <c r="B7" s="5" t="s">
        <v>439</v>
      </c>
      <c r="C7" s="8" t="s">
        <v>440</v>
      </c>
      <c r="D7" s="6" t="s">
        <v>441</v>
      </c>
      <c r="E7" s="6" t="s">
        <v>442</v>
      </c>
    </row>
    <row r="8" spans="1:5" ht="26" customHeight="1">
      <c r="A8" s="4">
        <v>4</v>
      </c>
      <c r="B8" s="5" t="s">
        <v>443</v>
      </c>
      <c r="C8" s="8" t="str">
        <f>IF(MAX('Elenco Completo (Hub)'!$Z$5:$Z$29)&lt;=540, "OK (VERIFICADO)", "DIVERGÊNCIA DETECTADA")</f>
        <v>OK (VERIFICADO)</v>
      </c>
      <c r="D8" s="6" t="s">
        <v>444</v>
      </c>
      <c r="E8" s="6" t="s">
        <v>445</v>
      </c>
    </row>
    <row r="9" spans="1:5" ht="26" customHeight="1">
      <c r="A9" s="4">
        <v>5</v>
      </c>
      <c r="B9" s="5" t="s">
        <v>446</v>
      </c>
      <c r="C9" s="8" t="s">
        <v>440</v>
      </c>
      <c r="D9" s="6" t="s">
        <v>447</v>
      </c>
      <c r="E9" s="6" t="s">
        <v>448</v>
      </c>
    </row>
    <row r="10" spans="1:5" ht="26" customHeight="1">
      <c r="A10" s="4">
        <v>6</v>
      </c>
      <c r="B10" s="5" t="s">
        <v>449</v>
      </c>
      <c r="C10" s="8" t="s">
        <v>440</v>
      </c>
      <c r="D10" s="6" t="s">
        <v>450</v>
      </c>
      <c r="E10" s="6" t="s">
        <v>451</v>
      </c>
    </row>
    <row r="11" spans="1:5" ht="26" customHeight="1">
      <c r="A11" s="4">
        <v>7</v>
      </c>
      <c r="B11" s="5" t="s">
        <v>452</v>
      </c>
      <c r="C11" s="8" t="s">
        <v>440</v>
      </c>
      <c r="D11" s="6" t="s">
        <v>453</v>
      </c>
      <c r="E11" s="6" t="s">
        <v>454</v>
      </c>
    </row>
    <row r="12" spans="1:5" ht="26" customHeight="1">
      <c r="A12" s="4">
        <v>8</v>
      </c>
      <c r="B12" s="5" t="s">
        <v>455</v>
      </c>
      <c r="C12" s="8" t="s">
        <v>440</v>
      </c>
      <c r="D12" s="6" t="s">
        <v>456</v>
      </c>
      <c r="E12" s="6" t="s">
        <v>457</v>
      </c>
    </row>
    <row r="13" spans="1:5" ht="26" customHeight="1">
      <c r="A13" s="4">
        <v>9</v>
      </c>
      <c r="B13" s="5" t="s">
        <v>458</v>
      </c>
      <c r="C13" s="8" t="str">
        <f>IF(SUM('Elenco Completo (Hub)'!$Z$5:$Z$29)=SUM('Desempenho por Jogo (Logs)'!$K$5:$K$94), "OK (VERIFICADO)", "DIVERGÊNCIA DETECTADA")</f>
        <v>OK (VERIFICADO)</v>
      </c>
      <c r="D13" s="6" t="s">
        <v>459</v>
      </c>
      <c r="E13" s="6" t="s">
        <v>460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Elenco Completo (Hub)</vt:lpstr>
      <vt:lpstr>Desempenho por Jogo (Logs)</vt:lpstr>
      <vt:lpstr>Jogos e Adversários</vt:lpstr>
      <vt:lpstr>Classificação (Tabelas)</vt:lpstr>
      <vt:lpstr>Integridade dos Dados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2026-10-29T03:23:32Z</dcterms:created>
  <dcterms:modified xsi:type="dcterms:W3CDTF">2026-10-29T03:23:32Z</dcterms:modified>
</cp:coreProperties>
</file>